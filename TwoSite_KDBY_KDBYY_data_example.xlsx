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95f6200f8a9b68/Documents/MATLAB/Github code/"/>
    </mc:Choice>
  </mc:AlternateContent>
  <xr:revisionPtr revIDLastSave="8" documentId="8_{8D32B3ED-950B-473A-89ED-0EA7C93C3D2F}" xr6:coauthVersionLast="47" xr6:coauthVersionMax="47" xr10:uidLastSave="{F0637559-85EE-47B6-BAE9-824DED643C7B}"/>
  <bookViews>
    <workbookView xWindow="-110" yWindow="-110" windowWidth="19420" windowHeight="11500" activeTab="5" xr2:uid="{9D9801E6-98A2-449D-AACF-24B413E0AD33}"/>
  </bookViews>
  <sheets>
    <sheet name="NormFluoro" sheetId="9" r:id="rId1"/>
    <sheet name="weights" sheetId="10" r:id="rId2"/>
    <sheet name="conc" sheetId="6" r:id="rId3"/>
    <sheet name="KD" sheetId="19" r:id="rId4"/>
    <sheet name="Y" sheetId="21" r:id="rId5"/>
    <sheet name="B" sheetId="1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" l="1"/>
  <c r="A1" i="6"/>
  <c r="H1" i="6"/>
  <c r="G1" i="6"/>
  <c r="F1" i="6"/>
  <c r="E1" i="6"/>
  <c r="D1" i="6"/>
  <c r="C1" i="6"/>
</calcChain>
</file>

<file path=xl/sharedStrings.xml><?xml version="1.0" encoding="utf-8"?>
<sst xmlns="http://schemas.openxmlformats.org/spreadsheetml/2006/main" count="15" uniqueCount="15">
  <si>
    <t>Temperature</t>
  </si>
  <si>
    <t>NTC</t>
  </si>
  <si>
    <t>0uM</t>
  </si>
  <si>
    <t>0.05uM</t>
  </si>
  <si>
    <t>0.1uM</t>
  </si>
  <si>
    <t>0.5uM</t>
  </si>
  <si>
    <t>0.8uM</t>
  </si>
  <si>
    <t>1uM</t>
  </si>
  <si>
    <t>5uM</t>
  </si>
  <si>
    <t>10uM</t>
  </si>
  <si>
    <t>20uM</t>
  </si>
  <si>
    <t>KD_BYY</t>
  </si>
  <si>
    <t>KD_BY</t>
  </si>
  <si>
    <t>KD_YY (M)</t>
  </si>
  <si>
    <t>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</si>
</sst>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.25"/>
      <name val="Microsoft Sans Serif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0" xfId="0" applyFont="1"/>
    <xf numFmtId="11" fontId="0" fillId="0" borderId="0" xfId="0" applyNumberFormat="1"/>
    <xf numFmtId="0" fontId="1" fillId="0" borderId="0" xfId="0" applyFont="1" applyAlignment="1">
      <alignment vertical="top"/>
    </xf>
    <xf numFmtId="11" fontId="0" fillId="0" borderId="0" xfId="0" applyNumberFormat="1" applyAlignment="1">
      <alignment horizontal="center"/>
    </xf>
    <xf numFmtId="11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/>
    </xf>
    <xf numFmtId="11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NormFluoro!$B$1</c:f>
              <c:strCache>
                <c:ptCount val="1"/>
                <c:pt idx="0">
                  <c:v>NTC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NormFluoro!$A$2:$A$82</c:f>
              <c:numCache>
                <c:formatCode>General</c:formatCode>
                <c:ptCount val="8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</c:numCache>
            </c:numRef>
          </c:xVal>
          <c:yVal>
            <c:numRef>
              <c:f>NormFluoro!$B$2:$B$82</c:f>
              <c:numCache>
                <c:formatCode>General</c:formatCode>
                <c:ptCount val="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61-46DE-9CFA-134AFA2FC2D8}"/>
            </c:ext>
          </c:extLst>
        </c:ser>
        <c:ser>
          <c:idx val="1"/>
          <c:order val="1"/>
          <c:tx>
            <c:strRef>
              <c:f>NormFluoro!$C$1</c:f>
              <c:strCache>
                <c:ptCount val="1"/>
                <c:pt idx="0">
                  <c:v>0uM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NormFluoro!$A$2:$A$82</c:f>
              <c:numCache>
                <c:formatCode>General</c:formatCode>
                <c:ptCount val="8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</c:numCache>
            </c:numRef>
          </c:xVal>
          <c:yVal>
            <c:numRef>
              <c:f>NormFluoro!$C$2:$C$82</c:f>
              <c:numCache>
                <c:formatCode>General</c:formatCode>
                <c:ptCount val="81"/>
                <c:pt idx="0">
                  <c:v>0.13042744634578954</c:v>
                </c:pt>
                <c:pt idx="1">
                  <c:v>0.13099749914423114</c:v>
                </c:pt>
                <c:pt idx="2">
                  <c:v>0.13153067511055372</c:v>
                </c:pt>
                <c:pt idx="3">
                  <c:v>0.13206648068830376</c:v>
                </c:pt>
                <c:pt idx="4">
                  <c:v>0.13260494588327265</c:v>
                </c:pt>
                <c:pt idx="5">
                  <c:v>0.13314610149523856</c:v>
                </c:pt>
                <c:pt idx="6">
                  <c:v>0.13368993437879562</c:v>
                </c:pt>
                <c:pt idx="7">
                  <c:v>0.13411266577692282</c:v>
                </c:pt>
                <c:pt idx="8">
                  <c:v>0.13451205544982764</c:v>
                </c:pt>
                <c:pt idx="9">
                  <c:v>0.13476423498951812</c:v>
                </c:pt>
                <c:pt idx="10">
                  <c:v>0.1348690041530772</c:v>
                </c:pt>
                <c:pt idx="11">
                  <c:v>0.13475264750298854</c:v>
                </c:pt>
                <c:pt idx="12">
                  <c:v>0.13450319409621622</c:v>
                </c:pt>
                <c:pt idx="13">
                  <c:v>0.1340336181843155</c:v>
                </c:pt>
                <c:pt idx="14">
                  <c:v>0.13340523289608169</c:v>
                </c:pt>
                <c:pt idx="15">
                  <c:v>0.13259838721374678</c:v>
                </c:pt>
                <c:pt idx="16">
                  <c:v>0.13161756143201384</c:v>
                </c:pt>
                <c:pt idx="17">
                  <c:v>0.13045954272910226</c:v>
                </c:pt>
                <c:pt idx="18">
                  <c:v>0.12914348443550475</c:v>
                </c:pt>
                <c:pt idx="19">
                  <c:v>0.12767403370329669</c:v>
                </c:pt>
                <c:pt idx="20">
                  <c:v>0.12615456567590178</c:v>
                </c:pt>
                <c:pt idx="21">
                  <c:v>0.12474087417732344</c:v>
                </c:pt>
                <c:pt idx="22">
                  <c:v>0.12346430895821033</c:v>
                </c:pt>
                <c:pt idx="23">
                  <c:v>0.12240416420178157</c:v>
                </c:pt>
                <c:pt idx="24">
                  <c:v>0.12161554526691282</c:v>
                </c:pt>
                <c:pt idx="25">
                  <c:v>0.12109149496571324</c:v>
                </c:pt>
                <c:pt idx="26">
                  <c:v>0.1207039083624622</c:v>
                </c:pt>
                <c:pt idx="27">
                  <c:v>0.12050196084127446</c:v>
                </c:pt>
                <c:pt idx="28">
                  <c:v>0.1204657456933494</c:v>
                </c:pt>
                <c:pt idx="29">
                  <c:v>0.12059899302348284</c:v>
                </c:pt>
                <c:pt idx="30">
                  <c:v>0.12093337577010904</c:v>
                </c:pt>
                <c:pt idx="31">
                  <c:v>0.12147665781703668</c:v>
                </c:pt>
                <c:pt idx="32">
                  <c:v>0.12221389907609009</c:v>
                </c:pt>
                <c:pt idx="33">
                  <c:v>0.12317747272282994</c:v>
                </c:pt>
                <c:pt idx="34">
                  <c:v>0.12434044634326863</c:v>
                </c:pt>
                <c:pt idx="35">
                  <c:v>0.12568343105730728</c:v>
                </c:pt>
                <c:pt idx="36">
                  <c:v>0.12731655696999161</c:v>
                </c:pt>
                <c:pt idx="37">
                  <c:v>0.12926152443050812</c:v>
                </c:pt>
                <c:pt idx="38">
                  <c:v>0.13157742367225378</c:v>
                </c:pt>
                <c:pt idx="39">
                  <c:v>0.13439513680801909</c:v>
                </c:pt>
                <c:pt idx="40">
                  <c:v>0.13785222894443686</c:v>
                </c:pt>
                <c:pt idx="41">
                  <c:v>0.14206049283682975</c:v>
                </c:pt>
                <c:pt idx="42">
                  <c:v>0.14723635440091129</c:v>
                </c:pt>
                <c:pt idx="43">
                  <c:v>0.15353271652020983</c:v>
                </c:pt>
                <c:pt idx="44">
                  <c:v>0.1611754125873667</c:v>
                </c:pt>
                <c:pt idx="45">
                  <c:v>0.17035515497761389</c:v>
                </c:pt>
                <c:pt idx="46">
                  <c:v>0.18136696225906576</c:v>
                </c:pt>
                <c:pt idx="47">
                  <c:v>0.19443694169002998</c:v>
                </c:pt>
                <c:pt idx="48">
                  <c:v>0.20987556366109103</c:v>
                </c:pt>
                <c:pt idx="49">
                  <c:v>0.2279832547463751</c:v>
                </c:pt>
                <c:pt idx="50">
                  <c:v>0.24907637184820128</c:v>
                </c:pt>
                <c:pt idx="51">
                  <c:v>0.27338168549040187</c:v>
                </c:pt>
                <c:pt idx="52">
                  <c:v>0.30097014186720528</c:v>
                </c:pt>
                <c:pt idx="53">
                  <c:v>0.33195230173193485</c:v>
                </c:pt>
                <c:pt idx="54">
                  <c:v>0.36628347688285012</c:v>
                </c:pt>
                <c:pt idx="55">
                  <c:v>0.40384442811123417</c:v>
                </c:pt>
                <c:pt idx="56">
                  <c:v>0.44429203923635918</c:v>
                </c:pt>
                <c:pt idx="57">
                  <c:v>0.48742618357289746</c:v>
                </c:pt>
                <c:pt idx="58">
                  <c:v>0.5326071847167736</c:v>
                </c:pt>
                <c:pt idx="59">
                  <c:v>0.5790274125286855</c:v>
                </c:pt>
                <c:pt idx="60">
                  <c:v>0.62576904078420315</c:v>
                </c:pt>
                <c:pt idx="61">
                  <c:v>0.67189622209634248</c:v>
                </c:pt>
                <c:pt idx="62">
                  <c:v>0.7163223088876709</c:v>
                </c:pt>
                <c:pt idx="63">
                  <c:v>0.7581728601341724</c:v>
                </c:pt>
                <c:pt idx="64">
                  <c:v>0.79677602994522179</c:v>
                </c:pt>
                <c:pt idx="65">
                  <c:v>0.83160733024087652</c:v>
                </c:pt>
                <c:pt idx="66">
                  <c:v>0.86243864942690229</c:v>
                </c:pt>
                <c:pt idx="67">
                  <c:v>0.88920053692905643</c:v>
                </c:pt>
                <c:pt idx="68">
                  <c:v>0.91214137068574563</c:v>
                </c:pt>
                <c:pt idx="69">
                  <c:v>0.93154208994175791</c:v>
                </c:pt>
                <c:pt idx="70">
                  <c:v>0.94775220229887747</c:v>
                </c:pt>
                <c:pt idx="71">
                  <c:v>0.96106926391393732</c:v>
                </c:pt>
                <c:pt idx="72">
                  <c:v>0.97193839144412486</c:v>
                </c:pt>
                <c:pt idx="73">
                  <c:v>0.98052898459343818</c:v>
                </c:pt>
                <c:pt idx="74">
                  <c:v>0.98714052276626241</c:v>
                </c:pt>
                <c:pt idx="75">
                  <c:v>0.99211127445677993</c:v>
                </c:pt>
                <c:pt idx="76">
                  <c:v>0.9956644096909143</c:v>
                </c:pt>
                <c:pt idx="77">
                  <c:v>0.99803566111509856</c:v>
                </c:pt>
                <c:pt idx="78">
                  <c:v>0.99934518390400717</c:v>
                </c:pt>
                <c:pt idx="79">
                  <c:v>1.0003242130557928</c:v>
                </c:pt>
                <c:pt idx="8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D61-46DE-9CFA-134AFA2FC2D8}"/>
            </c:ext>
          </c:extLst>
        </c:ser>
        <c:ser>
          <c:idx val="2"/>
          <c:order val="2"/>
          <c:tx>
            <c:strRef>
              <c:f>NormFluoro!$D$1</c:f>
              <c:strCache>
                <c:ptCount val="1"/>
                <c:pt idx="0">
                  <c:v>0.05uM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NormFluoro!$A$2:$A$82</c:f>
              <c:numCache>
                <c:formatCode>General</c:formatCode>
                <c:ptCount val="8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</c:numCache>
            </c:numRef>
          </c:xVal>
          <c:yVal>
            <c:numRef>
              <c:f>NormFluoro!$D$2:$D$82</c:f>
              <c:numCache>
                <c:formatCode>General</c:formatCode>
                <c:ptCount val="81"/>
                <c:pt idx="0">
                  <c:v>0.15799716379467016</c:v>
                </c:pt>
                <c:pt idx="1">
                  <c:v>0.15775641371411725</c:v>
                </c:pt>
                <c:pt idx="2">
                  <c:v>0.15746639684885119</c:v>
                </c:pt>
                <c:pt idx="3">
                  <c:v>0.1571749365730426</c:v>
                </c:pt>
                <c:pt idx="4">
                  <c:v>0.15688203467144415</c:v>
                </c:pt>
                <c:pt idx="5">
                  <c:v>0.15658769323442562</c:v>
                </c:pt>
                <c:pt idx="6">
                  <c:v>0.15629186233229755</c:v>
                </c:pt>
                <c:pt idx="7">
                  <c:v>0.15587543161727493</c:v>
                </c:pt>
                <c:pt idx="8">
                  <c:v>0.15541433597023582</c:v>
                </c:pt>
                <c:pt idx="9">
                  <c:v>0.15477603860200964</c:v>
                </c:pt>
                <c:pt idx="10">
                  <c:v>0.15393621392092419</c:v>
                </c:pt>
                <c:pt idx="11">
                  <c:v>0.15285427065299634</c:v>
                </c:pt>
                <c:pt idx="12">
                  <c:v>0.15156370813712028</c:v>
                </c:pt>
                <c:pt idx="13">
                  <c:v>0.14995649280528581</c:v>
                </c:pt>
                <c:pt idx="14">
                  <c:v>0.14809323549381898</c:v>
                </c:pt>
                <c:pt idx="15">
                  <c:v>0.14595251667561013</c:v>
                </c:pt>
                <c:pt idx="16">
                  <c:v>0.14356562987774371</c:v>
                </c:pt>
                <c:pt idx="17">
                  <c:v>0.14091532313947605</c:v>
                </c:pt>
                <c:pt idx="18">
                  <c:v>0.13802912088022107</c:v>
                </c:pt>
                <c:pt idx="19">
                  <c:v>0.13499308019085823</c:v>
                </c:pt>
                <c:pt idx="20">
                  <c:v>0.13191005677882706</c:v>
                </c:pt>
                <c:pt idx="21">
                  <c:v>0.12896950726923831</c:v>
                </c:pt>
                <c:pt idx="22">
                  <c:v>0.12626793826946792</c:v>
                </c:pt>
                <c:pt idx="23">
                  <c:v>0.12400033086674117</c:v>
                </c:pt>
                <c:pt idx="24">
                  <c:v>0.12220310447790791</c:v>
                </c:pt>
                <c:pt idx="25">
                  <c:v>0.12097715803227437</c:v>
                </c:pt>
                <c:pt idx="26">
                  <c:v>0.12017070578866057</c:v>
                </c:pt>
                <c:pt idx="27">
                  <c:v>0.11986079507562093</c:v>
                </c:pt>
                <c:pt idx="28">
                  <c:v>0.11989431733964542</c:v>
                </c:pt>
                <c:pt idx="29">
                  <c:v>0.12026787395645876</c:v>
                </c:pt>
                <c:pt idx="30">
                  <c:v>0.12084886357619998</c:v>
                </c:pt>
                <c:pt idx="31">
                  <c:v>0.12166351048569887</c:v>
                </c:pt>
                <c:pt idx="32">
                  <c:v>0.12255289536570892</c:v>
                </c:pt>
                <c:pt idx="33">
                  <c:v>0.12362960478710563</c:v>
                </c:pt>
                <c:pt idx="34">
                  <c:v>0.12480912893914144</c:v>
                </c:pt>
                <c:pt idx="35">
                  <c:v>0.1261252329306457</c:v>
                </c:pt>
                <c:pt idx="36">
                  <c:v>0.12766322814974715</c:v>
                </c:pt>
                <c:pt idx="37">
                  <c:v>0.12950975329523934</c:v>
                </c:pt>
                <c:pt idx="38">
                  <c:v>0.13168569841867434</c:v>
                </c:pt>
                <c:pt idx="39">
                  <c:v>0.13433668889374248</c:v>
                </c:pt>
                <c:pt idx="40">
                  <c:v>0.13765425304716541</c:v>
                </c:pt>
                <c:pt idx="41">
                  <c:v>0.14174207840124542</c:v>
                </c:pt>
                <c:pt idx="42">
                  <c:v>0.14684553792693014</c:v>
                </c:pt>
                <c:pt idx="43">
                  <c:v>0.15312830133266928</c:v>
                </c:pt>
                <c:pt idx="44">
                  <c:v>0.16080769389182312</c:v>
                </c:pt>
                <c:pt idx="45">
                  <c:v>0.16999474696011233</c:v>
                </c:pt>
                <c:pt idx="46">
                  <c:v>0.18098239019502566</c:v>
                </c:pt>
                <c:pt idx="47">
                  <c:v>0.19399669364128724</c:v>
                </c:pt>
                <c:pt idx="48">
                  <c:v>0.20928262023093977</c:v>
                </c:pt>
                <c:pt idx="49">
                  <c:v>0.2271937349153762</c:v>
                </c:pt>
                <c:pt idx="50">
                  <c:v>0.24810145127818151</c:v>
                </c:pt>
                <c:pt idx="51">
                  <c:v>0.27223275215010162</c:v>
                </c:pt>
                <c:pt idx="52">
                  <c:v>0.29972074015259448</c:v>
                </c:pt>
                <c:pt idx="53">
                  <c:v>0.33068003634755688</c:v>
                </c:pt>
                <c:pt idx="54">
                  <c:v>0.36496238520436458</c:v>
                </c:pt>
                <c:pt idx="55">
                  <c:v>0.40240964251112321</c:v>
                </c:pt>
                <c:pt idx="56">
                  <c:v>0.4426499855464282</c:v>
                </c:pt>
                <c:pt idx="57">
                  <c:v>0.48522579106109609</c:v>
                </c:pt>
                <c:pt idx="58">
                  <c:v>0.52964136636924952</c:v>
                </c:pt>
                <c:pt idx="59">
                  <c:v>0.57516928788271737</c:v>
                </c:pt>
                <c:pt idx="60">
                  <c:v>0.62093646506722289</c:v>
                </c:pt>
                <c:pt idx="61">
                  <c:v>0.66606244902923784</c:v>
                </c:pt>
                <c:pt idx="62">
                  <c:v>0.70975980025050178</c:v>
                </c:pt>
                <c:pt idx="63">
                  <c:v>0.75100286651929538</c:v>
                </c:pt>
                <c:pt idx="64">
                  <c:v>0.78917993012364163</c:v>
                </c:pt>
                <c:pt idx="65">
                  <c:v>0.8237351130850219</c:v>
                </c:pt>
                <c:pt idx="66">
                  <c:v>0.85438432293339395</c:v>
                </c:pt>
                <c:pt idx="67">
                  <c:v>0.88100267900675833</c:v>
                </c:pt>
                <c:pt idx="68">
                  <c:v>0.90390375372151133</c:v>
                </c:pt>
                <c:pt idx="69">
                  <c:v>0.92329535955656805</c:v>
                </c:pt>
                <c:pt idx="70">
                  <c:v>0.93963849528401167</c:v>
                </c:pt>
                <c:pt idx="71">
                  <c:v>0.95329443965103944</c:v>
                </c:pt>
                <c:pt idx="72">
                  <c:v>0.96457821426624313</c:v>
                </c:pt>
                <c:pt idx="73">
                  <c:v>0.97366660088743828</c:v>
                </c:pt>
                <c:pt idx="74">
                  <c:v>0.98092379733719137</c:v>
                </c:pt>
                <c:pt idx="75">
                  <c:v>0.98651293095006531</c:v>
                </c:pt>
                <c:pt idx="76">
                  <c:v>0.99075170080516839</c:v>
                </c:pt>
                <c:pt idx="77">
                  <c:v>0.99395027625468213</c:v>
                </c:pt>
                <c:pt idx="78">
                  <c:v>0.99639246076405608</c:v>
                </c:pt>
                <c:pt idx="79">
                  <c:v>0.99852560708568006</c:v>
                </c:pt>
                <c:pt idx="8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D61-46DE-9CFA-134AFA2FC2D8}"/>
            </c:ext>
          </c:extLst>
        </c:ser>
        <c:ser>
          <c:idx val="3"/>
          <c:order val="3"/>
          <c:tx>
            <c:strRef>
              <c:f>NormFluoro!$E$1</c:f>
              <c:strCache>
                <c:ptCount val="1"/>
                <c:pt idx="0">
                  <c:v>0.1uM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NormFluoro!$A$2:$A$82</c:f>
              <c:numCache>
                <c:formatCode>General</c:formatCode>
                <c:ptCount val="8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</c:numCache>
            </c:numRef>
          </c:xVal>
          <c:yVal>
            <c:numRef>
              <c:f>NormFluoro!$E$2:$E$82</c:f>
              <c:numCache>
                <c:formatCode>General</c:formatCode>
                <c:ptCount val="81"/>
                <c:pt idx="0">
                  <c:v>0.21899471173056329</c:v>
                </c:pt>
                <c:pt idx="1">
                  <c:v>0.21826037124781536</c:v>
                </c:pt>
                <c:pt idx="2">
                  <c:v>0.21745576694449908</c:v>
                </c:pt>
                <c:pt idx="3">
                  <c:v>0.21664717064175318</c:v>
                </c:pt>
                <c:pt idx="4">
                  <c:v>0.21583456994411243</c:v>
                </c:pt>
                <c:pt idx="5">
                  <c:v>0.21501795259741699</c:v>
                </c:pt>
                <c:pt idx="6">
                  <c:v>0.21419723476656766</c:v>
                </c:pt>
                <c:pt idx="7">
                  <c:v>0.2132438521736823</c:v>
                </c:pt>
                <c:pt idx="8">
                  <c:v>0.21212104718561992</c:v>
                </c:pt>
                <c:pt idx="9">
                  <c:v>0.21077505162306071</c:v>
                </c:pt>
                <c:pt idx="10">
                  <c:v>0.2090912102925814</c:v>
                </c:pt>
                <c:pt idx="11">
                  <c:v>0.20702845526723024</c:v>
                </c:pt>
                <c:pt idx="12">
                  <c:v>0.20454348337087402</c:v>
                </c:pt>
                <c:pt idx="13">
                  <c:v>0.20155788267796465</c:v>
                </c:pt>
                <c:pt idx="14">
                  <c:v>0.1980169807415352</c:v>
                </c:pt>
                <c:pt idx="15">
                  <c:v>0.19386732153342873</c:v>
                </c:pt>
                <c:pt idx="16">
                  <c:v>0.1890747079708687</c:v>
                </c:pt>
                <c:pt idx="17">
                  <c:v>0.18360235200609465</c:v>
                </c:pt>
                <c:pt idx="18">
                  <c:v>0.17745659747799847</c:v>
                </c:pt>
                <c:pt idx="19">
                  <c:v>0.17067759020868953</c:v>
                </c:pt>
                <c:pt idx="20">
                  <c:v>0.16347671305447037</c:v>
                </c:pt>
                <c:pt idx="21">
                  <c:v>0.15612407316098184</c:v>
                </c:pt>
                <c:pt idx="22">
                  <c:v>0.14887835358702345</c:v>
                </c:pt>
                <c:pt idx="23">
                  <c:v>0.14208193665061039</c:v>
                </c:pt>
                <c:pt idx="24">
                  <c:v>0.13606229295652542</c:v>
                </c:pt>
                <c:pt idx="25">
                  <c:v>0.13099723454435569</c:v>
                </c:pt>
                <c:pt idx="26">
                  <c:v>0.1269243243355008</c:v>
                </c:pt>
                <c:pt idx="27">
                  <c:v>0.12390485775759878</c:v>
                </c:pt>
                <c:pt idx="28">
                  <c:v>0.12184577535365379</c:v>
                </c:pt>
                <c:pt idx="29">
                  <c:v>0.12058579551687454</c:v>
                </c:pt>
                <c:pt idx="30">
                  <c:v>0.12000369922561063</c:v>
                </c:pt>
                <c:pt idx="31">
                  <c:v>0.11997095380605911</c:v>
                </c:pt>
                <c:pt idx="32">
                  <c:v>0.12033220573280852</c:v>
                </c:pt>
                <c:pt idx="33">
                  <c:v>0.12104727701840633</c:v>
                </c:pt>
                <c:pt idx="34">
                  <c:v>0.12206349600522223</c:v>
                </c:pt>
                <c:pt idx="35">
                  <c:v>0.12331401326098221</c:v>
                </c:pt>
                <c:pt idx="36">
                  <c:v>0.12485808160832838</c:v>
                </c:pt>
                <c:pt idx="37">
                  <c:v>0.12672823300290476</c:v>
                </c:pt>
                <c:pt idx="38">
                  <c:v>0.12895502893263147</c:v>
                </c:pt>
                <c:pt idx="39">
                  <c:v>0.1316982013691439</c:v>
                </c:pt>
                <c:pt idx="40">
                  <c:v>0.13507014129131442</c:v>
                </c:pt>
                <c:pt idx="41">
                  <c:v>0.13920823530632287</c:v>
                </c:pt>
                <c:pt idx="42">
                  <c:v>0.14430250767834424</c:v>
                </c:pt>
                <c:pt idx="43">
                  <c:v>0.15053152202176101</c:v>
                </c:pt>
                <c:pt idx="44">
                  <c:v>0.15804876293544684</c:v>
                </c:pt>
                <c:pt idx="45">
                  <c:v>0.16709114390090446</c:v>
                </c:pt>
                <c:pt idx="46">
                  <c:v>0.17788212792897273</c:v>
                </c:pt>
                <c:pt idx="47">
                  <c:v>0.19073199056402665</c:v>
                </c:pt>
                <c:pt idx="48">
                  <c:v>0.20592778838116399</c:v>
                </c:pt>
                <c:pt idx="49">
                  <c:v>0.22380606772621969</c:v>
                </c:pt>
                <c:pt idx="50">
                  <c:v>0.24471170752863555</c:v>
                </c:pt>
                <c:pt idx="51">
                  <c:v>0.26893568612725277</c:v>
                </c:pt>
                <c:pt idx="52">
                  <c:v>0.29649724460614285</c:v>
                </c:pt>
                <c:pt idx="53">
                  <c:v>0.32748405706971112</c:v>
                </c:pt>
                <c:pt idx="54">
                  <c:v>0.36177751063962488</c:v>
                </c:pt>
                <c:pt idx="55">
                  <c:v>0.3991531755629581</c:v>
                </c:pt>
                <c:pt idx="56">
                  <c:v>0.43925845089801713</c:v>
                </c:pt>
                <c:pt idx="57">
                  <c:v>0.48177235044351641</c:v>
                </c:pt>
                <c:pt idx="58">
                  <c:v>0.52615872214362414</c:v>
                </c:pt>
                <c:pt idx="59">
                  <c:v>0.57170979456826121</c:v>
                </c:pt>
                <c:pt idx="60">
                  <c:v>0.61755959335995236</c:v>
                </c:pt>
                <c:pt idx="61">
                  <c:v>0.66281024249733123</c:v>
                </c:pt>
                <c:pt idx="62">
                  <c:v>0.70653863258665162</c:v>
                </c:pt>
                <c:pt idx="63">
                  <c:v>0.74775316531111613</c:v>
                </c:pt>
                <c:pt idx="64">
                  <c:v>0.78581353948549348</c:v>
                </c:pt>
                <c:pt idx="65">
                  <c:v>0.82031411793482589</c:v>
                </c:pt>
                <c:pt idx="66">
                  <c:v>0.85091441809851565</c:v>
                </c:pt>
                <c:pt idx="67">
                  <c:v>0.87759356866184146</c:v>
                </c:pt>
                <c:pt idx="68">
                  <c:v>0.90064348616248335</c:v>
                </c:pt>
                <c:pt idx="69">
                  <c:v>0.92027883634869911</c:v>
                </c:pt>
                <c:pt idx="70">
                  <c:v>0.93676504036415209</c:v>
                </c:pt>
                <c:pt idx="71">
                  <c:v>0.9504395153176618</c:v>
                </c:pt>
                <c:pt idx="72">
                  <c:v>0.96166479173029396</c:v>
                </c:pt>
                <c:pt idx="73">
                  <c:v>0.97071706638653421</c:v>
                </c:pt>
                <c:pt idx="74">
                  <c:v>0.97793577118548003</c:v>
                </c:pt>
                <c:pt idx="75">
                  <c:v>0.98365184759893942</c:v>
                </c:pt>
                <c:pt idx="76">
                  <c:v>0.98826432689273869</c:v>
                </c:pt>
                <c:pt idx="77">
                  <c:v>0.99200490884828219</c:v>
                </c:pt>
                <c:pt idx="78">
                  <c:v>0.99503321086924923</c:v>
                </c:pt>
                <c:pt idx="79">
                  <c:v>0.997882818883849</c:v>
                </c:pt>
                <c:pt idx="8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D61-46DE-9CFA-134AFA2FC2D8}"/>
            </c:ext>
          </c:extLst>
        </c:ser>
        <c:ser>
          <c:idx val="4"/>
          <c:order val="4"/>
          <c:tx>
            <c:strRef>
              <c:f>NormFluoro!$F$1</c:f>
              <c:strCache>
                <c:ptCount val="1"/>
                <c:pt idx="0">
                  <c:v>0.5uM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NormFluoro!$A$2:$A$82</c:f>
              <c:numCache>
                <c:formatCode>General</c:formatCode>
                <c:ptCount val="8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</c:numCache>
            </c:numRef>
          </c:xVal>
          <c:yVal>
            <c:numRef>
              <c:f>NormFluoro!$F$2:$F$82</c:f>
              <c:numCache>
                <c:formatCode>General</c:formatCode>
                <c:ptCount val="81"/>
                <c:pt idx="0">
                  <c:v>0.74952470891193901</c:v>
                </c:pt>
                <c:pt idx="1">
                  <c:v>0.74471181770454442</c:v>
                </c:pt>
                <c:pt idx="2">
                  <c:v>0.73964709787608429</c:v>
                </c:pt>
                <c:pt idx="3">
                  <c:v>0.73455728558606215</c:v>
                </c:pt>
                <c:pt idx="4">
                  <c:v>0.72944225306585142</c:v>
                </c:pt>
                <c:pt idx="5">
                  <c:v>0.72430187141013358</c:v>
                </c:pt>
                <c:pt idx="6">
                  <c:v>0.71913576972105586</c:v>
                </c:pt>
                <c:pt idx="7">
                  <c:v>0.71309436643032809</c:v>
                </c:pt>
                <c:pt idx="8">
                  <c:v>0.7060938436273223</c:v>
                </c:pt>
                <c:pt idx="9">
                  <c:v>0.69799264779841019</c:v>
                </c:pt>
                <c:pt idx="10">
                  <c:v>0.68865308391118674</c:v>
                </c:pt>
                <c:pt idx="11">
                  <c:v>0.6779409806226635</c:v>
                </c:pt>
                <c:pt idx="12">
                  <c:v>0.66574337175624632</c:v>
                </c:pt>
                <c:pt idx="13">
                  <c:v>0.6519269975564661</c:v>
                </c:pt>
                <c:pt idx="14">
                  <c:v>0.63633101039916673</c:v>
                </c:pt>
                <c:pt idx="15">
                  <c:v>0.61869709354088132</c:v>
                </c:pt>
                <c:pt idx="16">
                  <c:v>0.59849211066774088</c:v>
                </c:pt>
                <c:pt idx="17">
                  <c:v>0.57541769674448917</c:v>
                </c:pt>
                <c:pt idx="18">
                  <c:v>0.54910884374446711</c:v>
                </c:pt>
                <c:pt idx="19">
                  <c:v>0.51927542450213249</c:v>
                </c:pt>
                <c:pt idx="20">
                  <c:v>0.48598146340772874</c:v>
                </c:pt>
                <c:pt idx="21">
                  <c:v>0.45003108780705847</c:v>
                </c:pt>
                <c:pt idx="22">
                  <c:v>0.41202806752737642</c:v>
                </c:pt>
                <c:pt idx="23">
                  <c:v>0.37294384913078327</c:v>
                </c:pt>
                <c:pt idx="24">
                  <c:v>0.33405225927939874</c:v>
                </c:pt>
                <c:pt idx="25">
                  <c:v>0.296629382372531</c:v>
                </c:pt>
                <c:pt idx="26">
                  <c:v>0.26171381552177891</c:v>
                </c:pt>
                <c:pt idx="27">
                  <c:v>0.2304288013832845</c:v>
                </c:pt>
                <c:pt idx="28">
                  <c:v>0.20362017567911389</c:v>
                </c:pt>
                <c:pt idx="29">
                  <c:v>0.18159545127308141</c:v>
                </c:pt>
                <c:pt idx="30">
                  <c:v>0.16434894193117014</c:v>
                </c:pt>
                <c:pt idx="31">
                  <c:v>0.15146904116914625</c:v>
                </c:pt>
                <c:pt idx="32">
                  <c:v>0.1423326388502944</c:v>
                </c:pt>
                <c:pt idx="33">
                  <c:v>0.13620549723738573</c:v>
                </c:pt>
                <c:pt idx="34">
                  <c:v>0.13247488757643677</c:v>
                </c:pt>
                <c:pt idx="35">
                  <c:v>0.13054882373376767</c:v>
                </c:pt>
                <c:pt idx="36">
                  <c:v>0.13000883842534428</c:v>
                </c:pt>
                <c:pt idx="37">
                  <c:v>0.13057031459183663</c:v>
                </c:pt>
                <c:pt idx="38">
                  <c:v>0.13207255800770262</c:v>
                </c:pt>
                <c:pt idx="39">
                  <c:v>0.13437540395486783</c:v>
                </c:pt>
                <c:pt idx="40">
                  <c:v>0.13750151242237252</c:v>
                </c:pt>
                <c:pt idx="41">
                  <c:v>0.14151767732986315</c:v>
                </c:pt>
                <c:pt idx="42">
                  <c:v>0.14654633668896622</c:v>
                </c:pt>
                <c:pt idx="43">
                  <c:v>0.15268932790296569</c:v>
                </c:pt>
                <c:pt idx="44">
                  <c:v>0.16021103817066898</c:v>
                </c:pt>
                <c:pt idx="45">
                  <c:v>0.16929772632844337</c:v>
                </c:pt>
                <c:pt idx="46">
                  <c:v>0.18019863677046408</c:v>
                </c:pt>
                <c:pt idx="47">
                  <c:v>0.1931845331031585</c:v>
                </c:pt>
                <c:pt idx="48">
                  <c:v>0.20856328253177434</c:v>
                </c:pt>
                <c:pt idx="49">
                  <c:v>0.22660812894159038</c:v>
                </c:pt>
                <c:pt idx="50">
                  <c:v>0.24762957518880252</c:v>
                </c:pt>
                <c:pt idx="51">
                  <c:v>0.27191232020004091</c:v>
                </c:pt>
                <c:pt idx="52">
                  <c:v>0.29950871787426497</c:v>
                </c:pt>
                <c:pt idx="53">
                  <c:v>0.3304735410724472</c:v>
                </c:pt>
                <c:pt idx="54">
                  <c:v>0.36470629308671915</c:v>
                </c:pt>
                <c:pt idx="55">
                  <c:v>0.40206802264462349</c:v>
                </c:pt>
                <c:pt idx="56">
                  <c:v>0.44216454503244601</c:v>
                </c:pt>
                <c:pt idx="57">
                  <c:v>0.48463910855887343</c:v>
                </c:pt>
                <c:pt idx="58">
                  <c:v>0.52897902741187686</c:v>
                </c:pt>
                <c:pt idx="59">
                  <c:v>0.57446405142028401</c:v>
                </c:pt>
                <c:pt idx="60">
                  <c:v>0.62010744196492318</c:v>
                </c:pt>
                <c:pt idx="61">
                  <c:v>0.66504371672442353</c:v>
                </c:pt>
                <c:pt idx="62">
                  <c:v>0.70840789428526285</c:v>
                </c:pt>
                <c:pt idx="63">
                  <c:v>0.74927904461100714</c:v>
                </c:pt>
                <c:pt idx="64">
                  <c:v>0.7870619577150334</c:v>
                </c:pt>
                <c:pt idx="65">
                  <c:v>0.82132904276868901</c:v>
                </c:pt>
                <c:pt idx="66">
                  <c:v>0.85185393378863716</c:v>
                </c:pt>
                <c:pt idx="67">
                  <c:v>0.8785407584291467</c:v>
                </c:pt>
                <c:pt idx="68">
                  <c:v>0.90152786234357718</c:v>
                </c:pt>
                <c:pt idx="69">
                  <c:v>0.92103225084463158</c:v>
                </c:pt>
                <c:pt idx="70">
                  <c:v>0.93750804154873213</c:v>
                </c:pt>
                <c:pt idx="71">
                  <c:v>0.95116657617700673</c:v>
                </c:pt>
                <c:pt idx="72">
                  <c:v>0.96242325929491257</c:v>
                </c:pt>
                <c:pt idx="73">
                  <c:v>0.97162845784260321</c:v>
                </c:pt>
                <c:pt idx="74">
                  <c:v>0.97904806924745236</c:v>
                </c:pt>
                <c:pt idx="75">
                  <c:v>0.98482840899323087</c:v>
                </c:pt>
                <c:pt idx="76">
                  <c:v>0.98937984017494895</c:v>
                </c:pt>
                <c:pt idx="77">
                  <c:v>0.99293226964321935</c:v>
                </c:pt>
                <c:pt idx="78">
                  <c:v>0.99568598069955194</c:v>
                </c:pt>
                <c:pt idx="79">
                  <c:v>0.99815904847980663</c:v>
                </c:pt>
                <c:pt idx="8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D61-46DE-9CFA-134AFA2FC2D8}"/>
            </c:ext>
          </c:extLst>
        </c:ser>
        <c:ser>
          <c:idx val="5"/>
          <c:order val="5"/>
          <c:tx>
            <c:strRef>
              <c:f>NormFluoro!$G$1</c:f>
              <c:strCache>
                <c:ptCount val="1"/>
                <c:pt idx="0">
                  <c:v>0.8uM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NormFluoro!$A$2:$A$82</c:f>
              <c:numCache>
                <c:formatCode>General</c:formatCode>
                <c:ptCount val="8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</c:numCache>
            </c:numRef>
          </c:xVal>
          <c:yVal>
            <c:numRef>
              <c:f>NormFluoro!$G$2:$G$82</c:f>
              <c:numCache>
                <c:formatCode>General</c:formatCode>
                <c:ptCount val="81"/>
                <c:pt idx="0">
                  <c:v>1.0092100198510219</c:v>
                </c:pt>
                <c:pt idx="1">
                  <c:v>1.0044024264663669</c:v>
                </c:pt>
                <c:pt idx="2">
                  <c:v>0.99926400768168888</c:v>
                </c:pt>
                <c:pt idx="3">
                  <c:v>0.99410011711885848</c:v>
                </c:pt>
                <c:pt idx="4">
                  <c:v>0.98891064482499469</c:v>
                </c:pt>
                <c:pt idx="5">
                  <c:v>0.98369548049537903</c:v>
                </c:pt>
                <c:pt idx="6">
                  <c:v>0.97845418580938115</c:v>
                </c:pt>
                <c:pt idx="7">
                  <c:v>0.97203762768310642</c:v>
                </c:pt>
                <c:pt idx="8">
                  <c:v>0.96419984376770485</c:v>
                </c:pt>
                <c:pt idx="9">
                  <c:v>0.95474598136619648</c:v>
                </c:pt>
                <c:pt idx="10">
                  <c:v>0.94349646588817604</c:v>
                </c:pt>
                <c:pt idx="11">
                  <c:v>0.93029991666044487</c:v>
                </c:pt>
                <c:pt idx="12">
                  <c:v>0.9150434853814492</c:v>
                </c:pt>
                <c:pt idx="13">
                  <c:v>0.89755257751849271</c:v>
                </c:pt>
                <c:pt idx="14">
                  <c:v>0.87770006500011566</c:v>
                </c:pt>
                <c:pt idx="15">
                  <c:v>0.85515205858062826</c:v>
                </c:pt>
                <c:pt idx="16">
                  <c:v>0.8292508117174735</c:v>
                </c:pt>
                <c:pt idx="17">
                  <c:v>0.79962770912087255</c:v>
                </c:pt>
                <c:pt idx="18">
                  <c:v>0.76588381315534515</c:v>
                </c:pt>
                <c:pt idx="19">
                  <c:v>0.7275534125566292</c:v>
                </c:pt>
                <c:pt idx="20">
                  <c:v>0.68462283660527157</c:v>
                </c:pt>
                <c:pt idx="21">
                  <c:v>0.63784916114109291</c:v>
                </c:pt>
                <c:pt idx="22">
                  <c:v>0.58756606589794114</c:v>
                </c:pt>
                <c:pt idx="23">
                  <c:v>0.53461889841096166</c:v>
                </c:pt>
                <c:pt idx="24">
                  <c:v>0.48035103714780042</c:v>
                </c:pt>
                <c:pt idx="25">
                  <c:v>0.42615012328366536</c:v>
                </c:pt>
                <c:pt idx="26">
                  <c:v>0.37339154317538598</c:v>
                </c:pt>
                <c:pt idx="27">
                  <c:v>0.32398164523494849</c:v>
                </c:pt>
                <c:pt idx="28">
                  <c:v>0.27945254200043312</c:v>
                </c:pt>
                <c:pt idx="29">
                  <c:v>0.24087156990040726</c:v>
                </c:pt>
                <c:pt idx="30">
                  <c:v>0.20896616576992841</c:v>
                </c:pt>
                <c:pt idx="31">
                  <c:v>0.18404005371634904</c:v>
                </c:pt>
                <c:pt idx="32">
                  <c:v>0.16553619203989092</c:v>
                </c:pt>
                <c:pt idx="33">
                  <c:v>0.15270683560800577</c:v>
                </c:pt>
                <c:pt idx="34">
                  <c:v>0.14456771164140131</c:v>
                </c:pt>
                <c:pt idx="35">
                  <c:v>0.14011959450176112</c:v>
                </c:pt>
                <c:pt idx="36">
                  <c:v>0.13801168580703788</c:v>
                </c:pt>
                <c:pt idx="37">
                  <c:v>0.13755719579778675</c:v>
                </c:pt>
                <c:pt idx="38">
                  <c:v>0.13827294401960497</c:v>
                </c:pt>
                <c:pt idx="39">
                  <c:v>0.13994178483812766</c:v>
                </c:pt>
                <c:pt idx="40">
                  <c:v>0.1423940653703</c:v>
                </c:pt>
                <c:pt idx="41">
                  <c:v>0.14588400617606295</c:v>
                </c:pt>
                <c:pt idx="42">
                  <c:v>0.15055081213513233</c:v>
                </c:pt>
                <c:pt idx="43">
                  <c:v>0.15644322622606155</c:v>
                </c:pt>
                <c:pt idx="44">
                  <c:v>0.16371909162969209</c:v>
                </c:pt>
                <c:pt idx="45">
                  <c:v>0.17258585833734277</c:v>
                </c:pt>
                <c:pt idx="46">
                  <c:v>0.18323572697673005</c:v>
                </c:pt>
                <c:pt idx="47">
                  <c:v>0.19590227554623679</c:v>
                </c:pt>
                <c:pt idx="48">
                  <c:v>0.21092047399667052</c:v>
                </c:pt>
                <c:pt idx="49">
                  <c:v>0.22853860319423894</c:v>
                </c:pt>
                <c:pt idx="50">
                  <c:v>0.24904921006087685</c:v>
                </c:pt>
                <c:pt idx="51">
                  <c:v>0.27276486329019595</c:v>
                </c:pt>
                <c:pt idx="52">
                  <c:v>0.29981485837854488</c:v>
                </c:pt>
                <c:pt idx="53">
                  <c:v>0.33021274867921208</c:v>
                </c:pt>
                <c:pt idx="54">
                  <c:v>0.36392979153828775</c:v>
                </c:pt>
                <c:pt idx="55">
                  <c:v>0.40074697947602761</c:v>
                </c:pt>
                <c:pt idx="56">
                  <c:v>0.44019067997797362</c:v>
                </c:pt>
                <c:pt idx="57">
                  <c:v>0.48167555421586972</c:v>
                </c:pt>
                <c:pt idx="58">
                  <c:v>0.52464068444507062</c:v>
                </c:pt>
                <c:pt idx="59">
                  <c:v>0.56816979236034493</c:v>
                </c:pt>
                <c:pt idx="60">
                  <c:v>0.61261842322626603</c:v>
                </c:pt>
                <c:pt idx="61">
                  <c:v>0.65724669274137792</c:v>
                </c:pt>
                <c:pt idx="62">
                  <c:v>0.7013713434789447</c:v>
                </c:pt>
                <c:pt idx="63">
                  <c:v>0.74414160430299869</c:v>
                </c:pt>
                <c:pt idx="64">
                  <c:v>0.78509521820728279</c:v>
                </c:pt>
                <c:pt idx="65">
                  <c:v>0.8211300144594651</c:v>
                </c:pt>
                <c:pt idx="66">
                  <c:v>0.85164334337602099</c:v>
                </c:pt>
                <c:pt idx="67">
                  <c:v>0.87809383616622227</c:v>
                </c:pt>
                <c:pt idx="68">
                  <c:v>0.90053948767263192</c:v>
                </c:pt>
                <c:pt idx="69">
                  <c:v>0.91899914512530201</c:v>
                </c:pt>
                <c:pt idx="70">
                  <c:v>0.93514410511425694</c:v>
                </c:pt>
                <c:pt idx="71">
                  <c:v>0.95104043737251409</c:v>
                </c:pt>
                <c:pt idx="72">
                  <c:v>0.96345238669439348</c:v>
                </c:pt>
                <c:pt idx="73">
                  <c:v>0.97231687487269158</c:v>
                </c:pt>
                <c:pt idx="74">
                  <c:v>0.97978185067391854</c:v>
                </c:pt>
                <c:pt idx="75">
                  <c:v>0.98561376084261521</c:v>
                </c:pt>
                <c:pt idx="76">
                  <c:v>0.98812319231513901</c:v>
                </c:pt>
                <c:pt idx="77">
                  <c:v>0.99075382825889713</c:v>
                </c:pt>
                <c:pt idx="78">
                  <c:v>0.99413509731120486</c:v>
                </c:pt>
                <c:pt idx="79">
                  <c:v>0.996103400210265</c:v>
                </c:pt>
                <c:pt idx="8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D61-46DE-9CFA-134AFA2FC2D8}"/>
            </c:ext>
          </c:extLst>
        </c:ser>
        <c:ser>
          <c:idx val="6"/>
          <c:order val="6"/>
          <c:tx>
            <c:strRef>
              <c:f>NormFluoro!$H$1</c:f>
              <c:strCache>
                <c:ptCount val="1"/>
                <c:pt idx="0">
                  <c:v>1uM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NormFluoro!$A$2:$A$82</c:f>
              <c:numCache>
                <c:formatCode>General</c:formatCode>
                <c:ptCount val="8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</c:numCache>
            </c:numRef>
          </c:xVal>
          <c:yVal>
            <c:numRef>
              <c:f>NormFluoro!$H$2:$H$82</c:f>
              <c:numCache>
                <c:formatCode>General</c:formatCode>
                <c:ptCount val="81"/>
                <c:pt idx="0">
                  <c:v>1.0522178544720167</c:v>
                </c:pt>
                <c:pt idx="1">
                  <c:v>1.0494040471637598</c:v>
                </c:pt>
                <c:pt idx="2">
                  <c:v>1.0462561641887185</c:v>
                </c:pt>
                <c:pt idx="3">
                  <c:v>1.0430926520239696</c:v>
                </c:pt>
                <c:pt idx="4">
                  <c:v>1.039913477630648</c:v>
                </c:pt>
                <c:pt idx="5">
                  <c:v>1.0367186091522653</c:v>
                </c:pt>
                <c:pt idx="6">
                  <c:v>1.0335076698712415</c:v>
                </c:pt>
                <c:pt idx="7">
                  <c:v>1.0298663778362167</c:v>
                </c:pt>
                <c:pt idx="8">
                  <c:v>1.0258200692669739</c:v>
                </c:pt>
                <c:pt idx="9">
                  <c:v>1.0210166181016678</c:v>
                </c:pt>
                <c:pt idx="10">
                  <c:v>1.0151291123468777</c:v>
                </c:pt>
                <c:pt idx="11">
                  <c:v>1.0079016302884332</c:v>
                </c:pt>
                <c:pt idx="12">
                  <c:v>0.99904955143802077</c:v>
                </c:pt>
                <c:pt idx="13">
                  <c:v>0.98796593374339092</c:v>
                </c:pt>
                <c:pt idx="14">
                  <c:v>0.97438005740917366</c:v>
                </c:pt>
                <c:pt idx="15">
                  <c:v>0.95778156396137071</c:v>
                </c:pt>
                <c:pt idx="16">
                  <c:v>0.93722208913817862</c:v>
                </c:pt>
                <c:pt idx="17">
                  <c:v>0.91199905385023916</c:v>
                </c:pt>
                <c:pt idx="18">
                  <c:v>0.88161737548034791</c:v>
                </c:pt>
                <c:pt idx="19">
                  <c:v>0.8453474696594202</c:v>
                </c:pt>
                <c:pt idx="20">
                  <c:v>0.80285036402251697</c:v>
                </c:pt>
                <c:pt idx="21">
                  <c:v>0.75477122145916642</c:v>
                </c:pt>
                <c:pt idx="22">
                  <c:v>0.70144366800709768</c:v>
                </c:pt>
                <c:pt idx="23">
                  <c:v>0.64358713897803665</c:v>
                </c:pt>
                <c:pt idx="24">
                  <c:v>0.58260669478945748</c:v>
                </c:pt>
                <c:pt idx="25">
                  <c:v>0.52016410039374095</c:v>
                </c:pt>
                <c:pt idx="26">
                  <c:v>0.45783867570532183</c:v>
                </c:pt>
                <c:pt idx="27">
                  <c:v>0.39793204972134</c:v>
                </c:pt>
                <c:pt idx="28">
                  <c:v>0.34255982896956677</c:v>
                </c:pt>
                <c:pt idx="29">
                  <c:v>0.29337043246421096</c:v>
                </c:pt>
                <c:pt idx="30">
                  <c:v>0.25160055901327621</c:v>
                </c:pt>
                <c:pt idx="31">
                  <c:v>0.21771370106644494</c:v>
                </c:pt>
                <c:pt idx="32">
                  <c:v>0.19138445839778259</c:v>
                </c:pt>
                <c:pt idx="33">
                  <c:v>0.17184771135109031</c:v>
                </c:pt>
                <c:pt idx="34">
                  <c:v>0.15806633710072615</c:v>
                </c:pt>
                <c:pt idx="35">
                  <c:v>0.148781914621889</c:v>
                </c:pt>
                <c:pt idx="36">
                  <c:v>0.14298482302505117</c:v>
                </c:pt>
                <c:pt idx="37">
                  <c:v>0.13980019566503324</c:v>
                </c:pt>
                <c:pt idx="38">
                  <c:v>0.13861270039654355</c:v>
                </c:pt>
                <c:pt idx="39">
                  <c:v>0.13893535343089328</c:v>
                </c:pt>
                <c:pt idx="40">
                  <c:v>0.14063304287011585</c:v>
                </c:pt>
                <c:pt idx="41">
                  <c:v>0.14357850227761293</c:v>
                </c:pt>
                <c:pt idx="42">
                  <c:v>0.14780922416164693</c:v>
                </c:pt>
                <c:pt idx="43">
                  <c:v>0.15332693946926529</c:v>
                </c:pt>
                <c:pt idx="44">
                  <c:v>0.16034008747546713</c:v>
                </c:pt>
                <c:pt idx="45">
                  <c:v>0.16895934901896972</c:v>
                </c:pt>
                <c:pt idx="46">
                  <c:v>0.17940398332778837</c:v>
                </c:pt>
                <c:pt idx="47">
                  <c:v>0.19195766688766785</c:v>
                </c:pt>
                <c:pt idx="48">
                  <c:v>0.2068860129849163</c:v>
                </c:pt>
                <c:pt idx="49">
                  <c:v>0.22452353423767307</c:v>
                </c:pt>
                <c:pt idx="50">
                  <c:v>0.24516014251469362</c:v>
                </c:pt>
                <c:pt idx="51">
                  <c:v>0.26907776511019832</c:v>
                </c:pt>
                <c:pt idx="52">
                  <c:v>0.2963519355979366</c:v>
                </c:pt>
                <c:pt idx="53">
                  <c:v>0.32707459496141744</c:v>
                </c:pt>
                <c:pt idx="54">
                  <c:v>0.36109114331339781</c:v>
                </c:pt>
                <c:pt idx="55">
                  <c:v>0.39812863398674886</c:v>
                </c:pt>
                <c:pt idx="56">
                  <c:v>0.43777745293767784</c:v>
                </c:pt>
                <c:pt idx="57">
                  <c:v>0.47956489755116033</c:v>
                </c:pt>
                <c:pt idx="58">
                  <c:v>0.52302958346155493</c:v>
                </c:pt>
                <c:pt idx="59">
                  <c:v>0.56746946710533219</c:v>
                </c:pt>
                <c:pt idx="60">
                  <c:v>0.61221980942607623</c:v>
                </c:pt>
                <c:pt idx="61">
                  <c:v>0.65644554371323738</c:v>
                </c:pt>
                <c:pt idx="62">
                  <c:v>0.6994588555051986</c:v>
                </c:pt>
                <c:pt idx="63">
                  <c:v>0.74031687118373668</c:v>
                </c:pt>
                <c:pt idx="64">
                  <c:v>0.77828487305350424</c:v>
                </c:pt>
                <c:pt idx="65">
                  <c:v>0.81283404602114651</c:v>
                </c:pt>
                <c:pt idx="66">
                  <c:v>0.84374924652207561</c:v>
                </c:pt>
                <c:pt idx="67">
                  <c:v>0.87076939512181506</c:v>
                </c:pt>
                <c:pt idx="68">
                  <c:v>0.89409317178087633</c:v>
                </c:pt>
                <c:pt idx="69">
                  <c:v>0.91410511322200116</c:v>
                </c:pt>
                <c:pt idx="70">
                  <c:v>0.93109748410569171</c:v>
                </c:pt>
                <c:pt idx="71">
                  <c:v>0.94533470076238602</c:v>
                </c:pt>
                <c:pt idx="72">
                  <c:v>0.9572458298414257</c:v>
                </c:pt>
                <c:pt idx="73">
                  <c:v>0.96696960091101858</c:v>
                </c:pt>
                <c:pt idx="74">
                  <c:v>0.97480151290925088</c:v>
                </c:pt>
                <c:pt idx="75">
                  <c:v>0.98097608765002653</c:v>
                </c:pt>
                <c:pt idx="76">
                  <c:v>0.98589555615449043</c:v>
                </c:pt>
                <c:pt idx="77">
                  <c:v>0.98981051266152775</c:v>
                </c:pt>
                <c:pt idx="78">
                  <c:v>0.99334335881101832</c:v>
                </c:pt>
                <c:pt idx="79">
                  <c:v>0.99658841209353155</c:v>
                </c:pt>
                <c:pt idx="8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D61-46DE-9CFA-134AFA2FC2D8}"/>
            </c:ext>
          </c:extLst>
        </c:ser>
        <c:ser>
          <c:idx val="7"/>
          <c:order val="7"/>
          <c:tx>
            <c:strRef>
              <c:f>NormFluoro!$I$1</c:f>
              <c:strCache>
                <c:ptCount val="1"/>
                <c:pt idx="0">
                  <c:v>5uM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NormFluoro!$A$2:$A$82</c:f>
              <c:numCache>
                <c:formatCode>General</c:formatCode>
                <c:ptCount val="8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</c:numCache>
            </c:numRef>
          </c:xVal>
          <c:yVal>
            <c:numRef>
              <c:f>NormFluoro!$I$2:$I$82</c:f>
              <c:numCache>
                <c:formatCode>General</c:formatCode>
                <c:ptCount val="81"/>
                <c:pt idx="0">
                  <c:v>1.0398401883156327</c:v>
                </c:pt>
                <c:pt idx="1">
                  <c:v>1.038593077014816</c:v>
                </c:pt>
                <c:pt idx="2">
                  <c:v>1.0370233865156755</c:v>
                </c:pt>
                <c:pt idx="3">
                  <c:v>1.0354458731541329</c:v>
                </c:pt>
                <c:pt idx="4">
                  <c:v>1.0338605611968188</c:v>
                </c:pt>
                <c:pt idx="5">
                  <c:v>1.0322674771594096</c:v>
                </c:pt>
                <c:pt idx="6">
                  <c:v>1.0306663047537141</c:v>
                </c:pt>
                <c:pt idx="7">
                  <c:v>1.0291116951595807</c:v>
                </c:pt>
                <c:pt idx="8">
                  <c:v>1.0276562879496778</c:v>
                </c:pt>
                <c:pt idx="9">
                  <c:v>1.0262565235440531</c:v>
                </c:pt>
                <c:pt idx="10">
                  <c:v>1.0248546261548976</c:v>
                </c:pt>
                <c:pt idx="11">
                  <c:v>1.0235137243185608</c:v>
                </c:pt>
                <c:pt idx="12">
                  <c:v>1.0221822824867084</c:v>
                </c:pt>
                <c:pt idx="13">
                  <c:v>1.0208988450585652</c:v>
                </c:pt>
                <c:pt idx="14">
                  <c:v>1.0196330150698933</c:v>
                </c:pt>
                <c:pt idx="15">
                  <c:v>1.0184555031265892</c:v>
                </c:pt>
                <c:pt idx="16">
                  <c:v>1.0171795226183913</c:v>
                </c:pt>
                <c:pt idx="17">
                  <c:v>1.0157482723932643</c:v>
                </c:pt>
                <c:pt idx="18">
                  <c:v>1.0139423960069613</c:v>
                </c:pt>
                <c:pt idx="19">
                  <c:v>1.0116460804770226</c:v>
                </c:pt>
                <c:pt idx="20">
                  <c:v>1.0085458895375827</c:v>
                </c:pt>
                <c:pt idx="21">
                  <c:v>1.0043711234778641</c:v>
                </c:pt>
                <c:pt idx="22">
                  <c:v>0.99861815251603347</c:v>
                </c:pt>
                <c:pt idx="23">
                  <c:v>0.99060689881167341</c:v>
                </c:pt>
                <c:pt idx="24">
                  <c:v>0.97929575338039121</c:v>
                </c:pt>
                <c:pt idx="25">
                  <c:v>0.96332578494810994</c:v>
                </c:pt>
                <c:pt idx="26">
                  <c:v>0.94098719259384134</c:v>
                </c:pt>
                <c:pt idx="27">
                  <c:v>0.91048037900306655</c:v>
                </c:pt>
                <c:pt idx="28">
                  <c:v>0.8701647769034323</c:v>
                </c:pt>
                <c:pt idx="29">
                  <c:v>0.81915127216773509</c:v>
                </c:pt>
                <c:pt idx="30">
                  <c:v>0.75767961650870963</c:v>
                </c:pt>
                <c:pt idx="31">
                  <c:v>0.68745045127011017</c:v>
                </c:pt>
                <c:pt idx="32">
                  <c:v>0.61158730152776053</c:v>
                </c:pt>
                <c:pt idx="33">
                  <c:v>0.53433666705031679</c:v>
                </c:pt>
                <c:pt idx="34">
                  <c:v>0.46005863231191563</c:v>
                </c:pt>
                <c:pt idx="35">
                  <c:v>0.39275540602715242</c:v>
                </c:pt>
                <c:pt idx="36">
                  <c:v>0.33520283354917191</c:v>
                </c:pt>
                <c:pt idx="37">
                  <c:v>0.2886937554332889</c:v>
                </c:pt>
                <c:pt idx="38">
                  <c:v>0.25307906986391843</c:v>
                </c:pt>
                <c:pt idx="39">
                  <c:v>0.22737178645356185</c:v>
                </c:pt>
                <c:pt idx="40">
                  <c:v>0.2098236262976981</c:v>
                </c:pt>
                <c:pt idx="41">
                  <c:v>0.19878517573223289</c:v>
                </c:pt>
                <c:pt idx="42">
                  <c:v>0.19288793690238801</c:v>
                </c:pt>
                <c:pt idx="43">
                  <c:v>0.19107065167767306</c:v>
                </c:pt>
                <c:pt idx="44">
                  <c:v>0.19257387116800181</c:v>
                </c:pt>
                <c:pt idx="45">
                  <c:v>0.19704885710938852</c:v>
                </c:pt>
                <c:pt idx="46">
                  <c:v>0.20431474748493078</c:v>
                </c:pt>
                <c:pt idx="47">
                  <c:v>0.21432387292003918</c:v>
                </c:pt>
                <c:pt idx="48">
                  <c:v>0.22718870501101029</c:v>
                </c:pt>
                <c:pt idx="49">
                  <c:v>0.24304840813679662</c:v>
                </c:pt>
                <c:pt idx="50">
                  <c:v>0.26214729669868031</c:v>
                </c:pt>
                <c:pt idx="51">
                  <c:v>0.28465930552136248</c:v>
                </c:pt>
                <c:pt idx="52">
                  <c:v>0.31062937156343512</c:v>
                </c:pt>
                <c:pt idx="53">
                  <c:v>0.33994830543978061</c:v>
                </c:pt>
                <c:pt idx="54">
                  <c:v>0.3725367501763524</c:v>
                </c:pt>
                <c:pt idx="55">
                  <c:v>0.40817349455998997</c:v>
                </c:pt>
                <c:pt idx="56">
                  <c:v>0.44653160315933149</c:v>
                </c:pt>
                <c:pt idx="57">
                  <c:v>0.48715508864502394</c:v>
                </c:pt>
                <c:pt idx="58">
                  <c:v>0.52974696967503243</c:v>
                </c:pt>
                <c:pt idx="59">
                  <c:v>0.57357175857492193</c:v>
                </c:pt>
                <c:pt idx="60">
                  <c:v>0.61785082685217918</c:v>
                </c:pt>
                <c:pt idx="61">
                  <c:v>0.66166293792839137</c:v>
                </c:pt>
                <c:pt idx="62">
                  <c:v>0.70426835978298763</c:v>
                </c:pt>
                <c:pt idx="63">
                  <c:v>0.74463584966193364</c:v>
                </c:pt>
                <c:pt idx="64">
                  <c:v>0.78217499150243486</c:v>
                </c:pt>
                <c:pt idx="65">
                  <c:v>0.81630639112034176</c:v>
                </c:pt>
                <c:pt idx="66">
                  <c:v>0.84680960160926189</c:v>
                </c:pt>
                <c:pt idx="67">
                  <c:v>0.8734821869288345</c:v>
                </c:pt>
                <c:pt idx="68">
                  <c:v>0.89652272672913691</c:v>
                </c:pt>
                <c:pt idx="69">
                  <c:v>0.91615896256639451</c:v>
                </c:pt>
                <c:pt idx="70">
                  <c:v>0.93277720134681197</c:v>
                </c:pt>
                <c:pt idx="71">
                  <c:v>0.94663566502383112</c:v>
                </c:pt>
                <c:pt idx="72">
                  <c:v>0.95817322323621601</c:v>
                </c:pt>
                <c:pt idx="73">
                  <c:v>0.96763761885258992</c:v>
                </c:pt>
                <c:pt idx="74">
                  <c:v>0.97532454236424249</c:v>
                </c:pt>
                <c:pt idx="75">
                  <c:v>0.98144397387606874</c:v>
                </c:pt>
                <c:pt idx="76">
                  <c:v>0.98639958090412905</c:v>
                </c:pt>
                <c:pt idx="77">
                  <c:v>0.99039850676832586</c:v>
                </c:pt>
                <c:pt idx="78">
                  <c:v>0.99384423993765547</c:v>
                </c:pt>
                <c:pt idx="79">
                  <c:v>0.99702060405045434</c:v>
                </c:pt>
                <c:pt idx="8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D61-46DE-9CFA-134AFA2FC2D8}"/>
            </c:ext>
          </c:extLst>
        </c:ser>
        <c:ser>
          <c:idx val="8"/>
          <c:order val="8"/>
          <c:tx>
            <c:strRef>
              <c:f>NormFluoro!$J$1</c:f>
              <c:strCache>
                <c:ptCount val="1"/>
                <c:pt idx="0">
                  <c:v>10uM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NormFluoro!$A$2:$A$82</c:f>
              <c:numCache>
                <c:formatCode>General</c:formatCode>
                <c:ptCount val="8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</c:numCache>
            </c:numRef>
          </c:xVal>
          <c:yVal>
            <c:numRef>
              <c:f>NormFluoro!$J$2:$J$82</c:f>
              <c:numCache>
                <c:formatCode>General</c:formatCode>
                <c:ptCount val="81"/>
                <c:pt idx="0">
                  <c:v>1.051582572960623</c:v>
                </c:pt>
                <c:pt idx="1">
                  <c:v>1.050584261226013</c:v>
                </c:pt>
                <c:pt idx="2">
                  <c:v>1.0492610246055232</c:v>
                </c:pt>
                <c:pt idx="3">
                  <c:v>1.0479311833954783</c:v>
                </c:pt>
                <c:pt idx="4">
                  <c:v>1.046594771892978</c:v>
                </c:pt>
                <c:pt idx="5">
                  <c:v>1.0452518268548068</c:v>
                </c:pt>
                <c:pt idx="6">
                  <c:v>1.0439020380200128</c:v>
                </c:pt>
                <c:pt idx="7">
                  <c:v>1.0427273858448647</c:v>
                </c:pt>
                <c:pt idx="8">
                  <c:v>1.0417042044256934</c:v>
                </c:pt>
                <c:pt idx="9">
                  <c:v>1.0407850564823655</c:v>
                </c:pt>
                <c:pt idx="10">
                  <c:v>1.0398135317373394</c:v>
                </c:pt>
                <c:pt idx="11">
                  <c:v>1.0389513157793897</c:v>
                </c:pt>
                <c:pt idx="12">
                  <c:v>1.0380547513813485</c:v>
                </c:pt>
                <c:pt idx="13">
                  <c:v>1.037077620977553</c:v>
                </c:pt>
                <c:pt idx="14">
                  <c:v>1.0360720413143574</c:v>
                </c:pt>
                <c:pt idx="15">
                  <c:v>1.0350983958715989</c:v>
                </c:pt>
                <c:pt idx="16">
                  <c:v>1.0340980262726995</c:v>
                </c:pt>
                <c:pt idx="17">
                  <c:v>1.0331434411364608</c:v>
                </c:pt>
                <c:pt idx="18">
                  <c:v>1.0322532479139719</c:v>
                </c:pt>
                <c:pt idx="19">
                  <c:v>1.03135625904197</c:v>
                </c:pt>
                <c:pt idx="20">
                  <c:v>1.0304147556074454</c:v>
                </c:pt>
                <c:pt idx="21">
                  <c:v>1.0293236696332917</c:v>
                </c:pt>
                <c:pt idx="22">
                  <c:v>1.0279086833741091</c:v>
                </c:pt>
                <c:pt idx="23">
                  <c:v>1.0259510055288859</c:v>
                </c:pt>
                <c:pt idx="24">
                  <c:v>1.0230822620079769</c:v>
                </c:pt>
                <c:pt idx="25">
                  <c:v>1.0188159921735653</c:v>
                </c:pt>
                <c:pt idx="26">
                  <c:v>1.0123823339257465</c:v>
                </c:pt>
                <c:pt idx="27">
                  <c:v>1.0027788633539441</c:v>
                </c:pt>
                <c:pt idx="28">
                  <c:v>0.98856388128455097</c:v>
                </c:pt>
                <c:pt idx="29">
                  <c:v>0.96808495691228491</c:v>
                </c:pt>
                <c:pt idx="30">
                  <c:v>0.93940159041145699</c:v>
                </c:pt>
                <c:pt idx="31">
                  <c:v>0.90078383847440635</c:v>
                </c:pt>
                <c:pt idx="32">
                  <c:v>0.85104911956968698</c:v>
                </c:pt>
                <c:pt idx="33">
                  <c:v>0.79027452276199273</c:v>
                </c:pt>
                <c:pt idx="34">
                  <c:v>0.72000270224941687</c:v>
                </c:pt>
                <c:pt idx="35">
                  <c:v>0.64363866468843889</c:v>
                </c:pt>
                <c:pt idx="36">
                  <c:v>0.56545528248744381</c:v>
                </c:pt>
                <c:pt idx="37">
                  <c:v>0.49014769543502584</c:v>
                </c:pt>
                <c:pt idx="38">
                  <c:v>0.42198425029586034</c:v>
                </c:pt>
                <c:pt idx="39">
                  <c:v>0.36392799032750756</c:v>
                </c:pt>
                <c:pt idx="40">
                  <c:v>0.31692081924381182</c:v>
                </c:pt>
                <c:pt idx="41">
                  <c:v>0.28105754218589385</c:v>
                </c:pt>
                <c:pt idx="42">
                  <c:v>0.25540807174898178</c:v>
                </c:pt>
                <c:pt idx="43">
                  <c:v>0.23838197835345734</c:v>
                </c:pt>
                <c:pt idx="44">
                  <c:v>0.2284245028546022</c:v>
                </c:pt>
                <c:pt idx="45">
                  <c:v>0.22443713798577108</c:v>
                </c:pt>
                <c:pt idx="46">
                  <c:v>0.22541171976906374</c:v>
                </c:pt>
                <c:pt idx="47">
                  <c:v>0.23064377788549145</c:v>
                </c:pt>
                <c:pt idx="48">
                  <c:v>0.23984281609674227</c:v>
                </c:pt>
                <c:pt idx="49">
                  <c:v>0.25292395810945895</c:v>
                </c:pt>
                <c:pt idx="50">
                  <c:v>0.26987011842221176</c:v>
                </c:pt>
                <c:pt idx="51">
                  <c:v>0.29074255652111475</c:v>
                </c:pt>
                <c:pt idx="52">
                  <c:v>0.31545259307141432</c:v>
                </c:pt>
                <c:pt idx="53">
                  <c:v>0.34382719507718845</c:v>
                </c:pt>
                <c:pt idx="54">
                  <c:v>0.37574581585736316</c:v>
                </c:pt>
                <c:pt idx="55">
                  <c:v>0.41102051379535059</c:v>
                </c:pt>
                <c:pt idx="56">
                  <c:v>0.44926893483019759</c:v>
                </c:pt>
                <c:pt idx="57">
                  <c:v>0.49018580723144228</c:v>
                </c:pt>
                <c:pt idx="58">
                  <c:v>0.53340380872713011</c:v>
                </c:pt>
                <c:pt idx="59">
                  <c:v>0.57799583773011332</c:v>
                </c:pt>
                <c:pt idx="60">
                  <c:v>0.6231622078542608</c:v>
                </c:pt>
                <c:pt idx="61">
                  <c:v>0.66789271902549274</c:v>
                </c:pt>
                <c:pt idx="62">
                  <c:v>0.71127208664571617</c:v>
                </c:pt>
                <c:pt idx="63">
                  <c:v>0.75219824719649464</c:v>
                </c:pt>
                <c:pt idx="64">
                  <c:v>0.79021021594143781</c:v>
                </c:pt>
                <c:pt idx="65">
                  <c:v>0.82468933860992766</c:v>
                </c:pt>
                <c:pt idx="66">
                  <c:v>0.85540143188982221</c:v>
                </c:pt>
                <c:pt idx="67">
                  <c:v>0.88221563426331462</c:v>
                </c:pt>
                <c:pt idx="68">
                  <c:v>0.90538580476359454</c:v>
                </c:pt>
                <c:pt idx="69">
                  <c:v>0.92499930462721092</c:v>
                </c:pt>
                <c:pt idx="70">
                  <c:v>0.94137675061067716</c:v>
                </c:pt>
                <c:pt idx="71">
                  <c:v>0.95483343017019939</c:v>
                </c:pt>
                <c:pt idx="72">
                  <c:v>0.96573595068242923</c:v>
                </c:pt>
                <c:pt idx="73">
                  <c:v>0.97432667952238861</c:v>
                </c:pt>
                <c:pt idx="74">
                  <c:v>0.98107027990950346</c:v>
                </c:pt>
                <c:pt idx="75">
                  <c:v>0.98625643275350994</c:v>
                </c:pt>
                <c:pt idx="76">
                  <c:v>0.99028503847830096</c:v>
                </c:pt>
                <c:pt idx="77">
                  <c:v>0.99343872333706995</c:v>
                </c:pt>
                <c:pt idx="78">
                  <c:v>0.99597388024890421</c:v>
                </c:pt>
                <c:pt idx="79">
                  <c:v>0.99826835789508417</c:v>
                </c:pt>
                <c:pt idx="8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D61-46DE-9CFA-134AFA2FC2D8}"/>
            </c:ext>
          </c:extLst>
        </c:ser>
        <c:ser>
          <c:idx val="9"/>
          <c:order val="9"/>
          <c:tx>
            <c:strRef>
              <c:f>NormFluoro!$K$1</c:f>
              <c:strCache>
                <c:ptCount val="1"/>
                <c:pt idx="0">
                  <c:v>20uM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NormFluoro!$A$2:$A$82</c:f>
              <c:numCache>
                <c:formatCode>General</c:formatCode>
                <c:ptCount val="8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</c:numCache>
            </c:numRef>
          </c:xVal>
          <c:yVal>
            <c:numRef>
              <c:f>NormFluoro!$K$2:$K$82</c:f>
              <c:numCache>
                <c:formatCode>General</c:formatCode>
                <c:ptCount val="81"/>
                <c:pt idx="0">
                  <c:v>1.0256941829096951</c:v>
                </c:pt>
                <c:pt idx="1">
                  <c:v>1.0246842303953358</c:v>
                </c:pt>
                <c:pt idx="2">
                  <c:v>1.0233571734653835</c:v>
                </c:pt>
                <c:pt idx="3">
                  <c:v>1.0220234945270474</c:v>
                </c:pt>
                <c:pt idx="4">
                  <c:v>1.0206832256889289</c:v>
                </c:pt>
                <c:pt idx="5">
                  <c:v>1.0193364014332349</c:v>
                </c:pt>
                <c:pt idx="6">
                  <c:v>1.0179827178147167</c:v>
                </c:pt>
                <c:pt idx="7">
                  <c:v>1.0166713791337862</c:v>
                </c:pt>
                <c:pt idx="8">
                  <c:v>1.0154499735607141</c:v>
                </c:pt>
                <c:pt idx="9">
                  <c:v>1.0142736178999763</c:v>
                </c:pt>
                <c:pt idx="10">
                  <c:v>1.0131871953759126</c:v>
                </c:pt>
                <c:pt idx="11">
                  <c:v>1.0121446963328395</c:v>
                </c:pt>
                <c:pt idx="12">
                  <c:v>1.0111641858038807</c:v>
                </c:pt>
                <c:pt idx="13">
                  <c:v>1.0102415786566854</c:v>
                </c:pt>
                <c:pt idx="14">
                  <c:v>1.0093425294524168</c:v>
                </c:pt>
                <c:pt idx="15">
                  <c:v>1.0083934869418221</c:v>
                </c:pt>
                <c:pt idx="16">
                  <c:v>1.0074413943222518</c:v>
                </c:pt>
                <c:pt idx="17">
                  <c:v>1.0064287215528225</c:v>
                </c:pt>
                <c:pt idx="18">
                  <c:v>1.0053553575798277</c:v>
                </c:pt>
                <c:pt idx="19">
                  <c:v>1.0042998560687109</c:v>
                </c:pt>
                <c:pt idx="20">
                  <c:v>1.0033906080514603</c:v>
                </c:pt>
                <c:pt idx="21">
                  <c:v>1.0026209606407344</c:v>
                </c:pt>
                <c:pt idx="22">
                  <c:v>1.0020004011971815</c:v>
                </c:pt>
                <c:pt idx="23">
                  <c:v>1.0015118041502551</c:v>
                </c:pt>
                <c:pt idx="24">
                  <c:v>1.0009880273480438</c:v>
                </c:pt>
                <c:pt idx="25">
                  <c:v>1.0002569028069237</c:v>
                </c:pt>
                <c:pt idx="26">
                  <c:v>0.99898565363605407</c:v>
                </c:pt>
                <c:pt idx="27">
                  <c:v>0.99686539867564783</c:v>
                </c:pt>
                <c:pt idx="28">
                  <c:v>0.99333010646461251</c:v>
                </c:pt>
                <c:pt idx="29">
                  <c:v>0.98762418657125473</c:v>
                </c:pt>
                <c:pt idx="30">
                  <c:v>0.97863406034806544</c:v>
                </c:pt>
                <c:pt idx="31">
                  <c:v>0.96499001804138251</c:v>
                </c:pt>
                <c:pt idx="32">
                  <c:v>0.94499377506299109</c:v>
                </c:pt>
                <c:pt idx="33">
                  <c:v>0.91672938361136125</c:v>
                </c:pt>
                <c:pt idx="34">
                  <c:v>0.87864147571283591</c:v>
                </c:pt>
                <c:pt idx="35">
                  <c:v>0.83020116082507833</c:v>
                </c:pt>
                <c:pt idx="36">
                  <c:v>0.77188309482459438</c:v>
                </c:pt>
                <c:pt idx="37">
                  <c:v>0.70543686607036027</c:v>
                </c:pt>
                <c:pt idx="38">
                  <c:v>0.63427266338880151</c:v>
                </c:pt>
                <c:pt idx="39">
                  <c:v>0.56260694291280255</c:v>
                </c:pt>
                <c:pt idx="40">
                  <c:v>0.49415449369981629</c:v>
                </c:pt>
                <c:pt idx="41">
                  <c:v>0.43254840652247784</c:v>
                </c:pt>
                <c:pt idx="42">
                  <c:v>0.38045664132215579</c:v>
                </c:pt>
                <c:pt idx="43">
                  <c:v>0.33901701116901811</c:v>
                </c:pt>
                <c:pt idx="44">
                  <c:v>0.30814351281241364</c:v>
                </c:pt>
                <c:pt idx="45">
                  <c:v>0.2872716310504832</c:v>
                </c:pt>
                <c:pt idx="46">
                  <c:v>0.27518496633073419</c:v>
                </c:pt>
                <c:pt idx="47">
                  <c:v>0.27053858710086037</c:v>
                </c:pt>
                <c:pt idx="48">
                  <c:v>0.27221817474635285</c:v>
                </c:pt>
                <c:pt idx="49">
                  <c:v>0.27943398763040739</c:v>
                </c:pt>
                <c:pt idx="50">
                  <c:v>0.2916783179656427</c:v>
                </c:pt>
                <c:pt idx="51">
                  <c:v>0.30863921139330591</c:v>
                </c:pt>
                <c:pt idx="52">
                  <c:v>0.33002046057890633</c:v>
                </c:pt>
                <c:pt idx="53">
                  <c:v>0.35558831315305495</c:v>
                </c:pt>
                <c:pt idx="54">
                  <c:v>0.38510150135437649</c:v>
                </c:pt>
                <c:pt idx="55">
                  <c:v>0.41823150476200927</c:v>
                </c:pt>
                <c:pt idx="56">
                  <c:v>0.45453854983317299</c:v>
                </c:pt>
                <c:pt idx="57">
                  <c:v>0.49352296237415805</c:v>
                </c:pt>
                <c:pt idx="58">
                  <c:v>0.53473890452713924</c:v>
                </c:pt>
                <c:pt idx="59">
                  <c:v>0.5773799291264663</c:v>
                </c:pt>
                <c:pt idx="60">
                  <c:v>0.62065466379096912</c:v>
                </c:pt>
                <c:pt idx="61">
                  <c:v>0.66364873640438649</c:v>
                </c:pt>
                <c:pt idx="62">
                  <c:v>0.70558958640690006</c:v>
                </c:pt>
                <c:pt idx="63">
                  <c:v>0.74543347384238468</c:v>
                </c:pt>
                <c:pt idx="64">
                  <c:v>0.78265410973437999</c:v>
                </c:pt>
                <c:pt idx="65">
                  <c:v>0.81667500027461404</c:v>
                </c:pt>
                <c:pt idx="66">
                  <c:v>0.84711438597125677</c:v>
                </c:pt>
                <c:pt idx="67">
                  <c:v>0.87387057691266712</c:v>
                </c:pt>
                <c:pt idx="68">
                  <c:v>0.89714109475595905</c:v>
                </c:pt>
                <c:pt idx="69">
                  <c:v>0.91707203775254797</c:v>
                </c:pt>
                <c:pt idx="70">
                  <c:v>0.93401074873982992</c:v>
                </c:pt>
                <c:pt idx="71">
                  <c:v>0.94841686879459963</c:v>
                </c:pt>
                <c:pt idx="72">
                  <c:v>0.9604914090161375</c:v>
                </c:pt>
                <c:pt idx="73">
                  <c:v>0.97044869229009978</c:v>
                </c:pt>
                <c:pt idx="74">
                  <c:v>0.97849596928236882</c:v>
                </c:pt>
                <c:pt idx="75">
                  <c:v>0.98487500405855077</c:v>
                </c:pt>
                <c:pt idx="76">
                  <c:v>0.98972104024453333</c:v>
                </c:pt>
                <c:pt idx="77">
                  <c:v>0.99340245104818359</c:v>
                </c:pt>
                <c:pt idx="78">
                  <c:v>0.99612565066220493</c:v>
                </c:pt>
                <c:pt idx="79">
                  <c:v>0.99849030957255103</c:v>
                </c:pt>
                <c:pt idx="8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D61-46DE-9CFA-134AFA2FC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7497664"/>
        <c:axId val="1517497184"/>
      </c:scatterChart>
      <c:valAx>
        <c:axId val="1517497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497184"/>
        <c:crosses val="autoZero"/>
        <c:crossBetween val="midCat"/>
      </c:valAx>
      <c:valAx>
        <c:axId val="151749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49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476250</xdr:colOff>
      <xdr:row>0</xdr:row>
      <xdr:rowOff>157161</xdr:rowOff>
    </xdr:from>
    <xdr:to>
      <xdr:col>20</xdr:col>
      <xdr:colOff>381000</xdr:colOff>
      <xdr:row>18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1D8376-AA05-749F-2003-5660EF25AF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106C1-470D-492A-8A23-0D392E1D41C5}">
  <dimension ref="A1:Q82"/>
  <sheetViews>
    <sheetView workbookViewId="0">
      <selection activeCell="D19" sqref="D19"/>
    </sheetView>
  </sheetViews>
  <sheetFormatPr defaultRowHeight="14.5" x14ac:dyDescent="0.35"/>
  <sheetData>
    <row r="1" spans="1:17" ht="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</row>
    <row r="2" spans="1:17" x14ac:dyDescent="0.35">
      <c r="A2" s="2">
        <v>10</v>
      </c>
      <c r="B2" s="5">
        <v>0</v>
      </c>
      <c r="C2" s="5">
        <v>0.13042744634578954</v>
      </c>
      <c r="D2" s="5">
        <v>0.15799716379467016</v>
      </c>
      <c r="E2" s="5">
        <v>0.21899471173056329</v>
      </c>
      <c r="F2" s="5">
        <v>0.74952470891193901</v>
      </c>
      <c r="G2" s="5">
        <v>1.0092100198510219</v>
      </c>
      <c r="H2" s="5">
        <v>1.0522178544720167</v>
      </c>
      <c r="I2" s="5">
        <v>1.0398401883156327</v>
      </c>
      <c r="J2" s="5">
        <v>1.051582572960623</v>
      </c>
      <c r="K2" s="5">
        <v>1.0256941829096951</v>
      </c>
      <c r="M2" s="5"/>
      <c r="N2" s="5"/>
      <c r="O2" s="5"/>
      <c r="P2" s="5"/>
      <c r="Q2" s="5"/>
    </row>
    <row r="3" spans="1:17" x14ac:dyDescent="0.35">
      <c r="A3" s="2">
        <v>11</v>
      </c>
      <c r="B3" s="5">
        <v>0</v>
      </c>
      <c r="C3" s="5">
        <v>0.13099749914423114</v>
      </c>
      <c r="D3" s="5">
        <v>0.15775641371411725</v>
      </c>
      <c r="E3" s="5">
        <v>0.21826037124781536</v>
      </c>
      <c r="F3" s="5">
        <v>0.74471181770454442</v>
      </c>
      <c r="G3" s="5">
        <v>1.0044024264663669</v>
      </c>
      <c r="H3" s="5">
        <v>1.0494040471637598</v>
      </c>
      <c r="I3" s="5">
        <v>1.038593077014816</v>
      </c>
      <c r="J3" s="5">
        <v>1.050584261226013</v>
      </c>
      <c r="K3" s="5">
        <v>1.0246842303953358</v>
      </c>
      <c r="M3" s="5"/>
      <c r="N3" s="5"/>
      <c r="O3" s="5"/>
      <c r="P3" s="5"/>
      <c r="Q3" s="5"/>
    </row>
    <row r="4" spans="1:17" x14ac:dyDescent="0.35">
      <c r="A4" s="2">
        <v>12</v>
      </c>
      <c r="B4" s="5">
        <v>0</v>
      </c>
      <c r="C4" s="5">
        <v>0.13153067511055372</v>
      </c>
      <c r="D4" s="5">
        <v>0.15746639684885119</v>
      </c>
      <c r="E4" s="5">
        <v>0.21745576694449908</v>
      </c>
      <c r="F4" s="5">
        <v>0.73964709787608429</v>
      </c>
      <c r="G4" s="5">
        <v>0.99926400768168888</v>
      </c>
      <c r="H4" s="5">
        <v>1.0462561641887185</v>
      </c>
      <c r="I4" s="5">
        <v>1.0370233865156755</v>
      </c>
      <c r="J4" s="5">
        <v>1.0492610246055232</v>
      </c>
      <c r="K4" s="5">
        <v>1.0233571734653835</v>
      </c>
      <c r="M4" s="5"/>
      <c r="N4" s="5"/>
      <c r="O4" s="5"/>
      <c r="P4" s="5"/>
      <c r="Q4" s="5"/>
    </row>
    <row r="5" spans="1:17" x14ac:dyDescent="0.35">
      <c r="A5" s="2">
        <v>13</v>
      </c>
      <c r="B5" s="5">
        <v>0</v>
      </c>
      <c r="C5" s="5">
        <v>0.13206648068830376</v>
      </c>
      <c r="D5" s="5">
        <v>0.1571749365730426</v>
      </c>
      <c r="E5" s="5">
        <v>0.21664717064175318</v>
      </c>
      <c r="F5" s="5">
        <v>0.73455728558606215</v>
      </c>
      <c r="G5" s="5">
        <v>0.99410011711885848</v>
      </c>
      <c r="H5" s="5">
        <v>1.0430926520239696</v>
      </c>
      <c r="I5" s="5">
        <v>1.0354458731541329</v>
      </c>
      <c r="J5" s="5">
        <v>1.0479311833954783</v>
      </c>
      <c r="K5" s="5">
        <v>1.0220234945270474</v>
      </c>
      <c r="M5" s="5"/>
      <c r="N5" s="5"/>
      <c r="O5" s="5"/>
      <c r="P5" s="5"/>
      <c r="Q5" s="5"/>
    </row>
    <row r="6" spans="1:17" x14ac:dyDescent="0.35">
      <c r="A6" s="2">
        <v>14</v>
      </c>
      <c r="B6" s="5">
        <v>0</v>
      </c>
      <c r="C6" s="5">
        <v>0.13260494588327265</v>
      </c>
      <c r="D6" s="5">
        <v>0.15688203467144415</v>
      </c>
      <c r="E6" s="5">
        <v>0.21583456994411243</v>
      </c>
      <c r="F6" s="5">
        <v>0.72944225306585142</v>
      </c>
      <c r="G6" s="5">
        <v>0.98891064482499469</v>
      </c>
      <c r="H6" s="5">
        <v>1.039913477630648</v>
      </c>
      <c r="I6" s="5">
        <v>1.0338605611968188</v>
      </c>
      <c r="J6" s="5">
        <v>1.046594771892978</v>
      </c>
      <c r="K6" s="5">
        <v>1.0206832256889289</v>
      </c>
      <c r="M6" s="5"/>
      <c r="N6" s="5"/>
      <c r="O6" s="5"/>
      <c r="P6" s="5"/>
      <c r="Q6" s="5"/>
    </row>
    <row r="7" spans="1:17" x14ac:dyDescent="0.35">
      <c r="A7" s="2">
        <v>15</v>
      </c>
      <c r="B7" s="5">
        <v>0</v>
      </c>
      <c r="C7" s="5">
        <v>0.13314610149523856</v>
      </c>
      <c r="D7" s="5">
        <v>0.15658769323442562</v>
      </c>
      <c r="E7" s="5">
        <v>0.21501795259741699</v>
      </c>
      <c r="F7" s="5">
        <v>0.72430187141013358</v>
      </c>
      <c r="G7" s="5">
        <v>0.98369548049537903</v>
      </c>
      <c r="H7" s="5">
        <v>1.0367186091522653</v>
      </c>
      <c r="I7" s="5">
        <v>1.0322674771594096</v>
      </c>
      <c r="J7" s="5">
        <v>1.0452518268548068</v>
      </c>
      <c r="K7" s="5">
        <v>1.0193364014332349</v>
      </c>
      <c r="M7" s="5"/>
      <c r="N7" s="5"/>
      <c r="O7" s="5"/>
      <c r="P7" s="5"/>
      <c r="Q7" s="5"/>
    </row>
    <row r="8" spans="1:17" x14ac:dyDescent="0.35">
      <c r="A8" s="2">
        <v>16</v>
      </c>
      <c r="B8" s="5">
        <v>0</v>
      </c>
      <c r="C8" s="5">
        <v>0.13368993437879562</v>
      </c>
      <c r="D8" s="5">
        <v>0.15629186233229755</v>
      </c>
      <c r="E8" s="5">
        <v>0.21419723476656766</v>
      </c>
      <c r="F8" s="5">
        <v>0.71913576972105586</v>
      </c>
      <c r="G8" s="5">
        <v>0.97845418580938115</v>
      </c>
      <c r="H8" s="5">
        <v>1.0335076698712415</v>
      </c>
      <c r="I8" s="5">
        <v>1.0306663047537141</v>
      </c>
      <c r="J8" s="5">
        <v>1.0439020380200128</v>
      </c>
      <c r="K8" s="5">
        <v>1.0179827178147167</v>
      </c>
      <c r="M8" s="5"/>
      <c r="N8" s="5"/>
      <c r="O8" s="5"/>
      <c r="P8" s="5"/>
      <c r="Q8" s="5"/>
    </row>
    <row r="9" spans="1:17" x14ac:dyDescent="0.35">
      <c r="A9" s="2">
        <v>17</v>
      </c>
      <c r="B9" s="5">
        <v>0</v>
      </c>
      <c r="C9" s="5">
        <v>0.13411266577692282</v>
      </c>
      <c r="D9" s="5">
        <v>0.15587543161727493</v>
      </c>
      <c r="E9" s="5">
        <v>0.2132438521736823</v>
      </c>
      <c r="F9" s="5">
        <v>0.71309436643032809</v>
      </c>
      <c r="G9" s="5">
        <v>0.97203762768310642</v>
      </c>
      <c r="H9" s="5">
        <v>1.0298663778362167</v>
      </c>
      <c r="I9" s="5">
        <v>1.0291116951595807</v>
      </c>
      <c r="J9" s="5">
        <v>1.0427273858448647</v>
      </c>
      <c r="K9" s="5">
        <v>1.0166713791337862</v>
      </c>
      <c r="M9" s="5"/>
      <c r="N9" s="5"/>
      <c r="O9" s="5"/>
      <c r="P9" s="5"/>
      <c r="Q9" s="5"/>
    </row>
    <row r="10" spans="1:17" x14ac:dyDescent="0.35">
      <c r="A10" s="2">
        <v>18</v>
      </c>
      <c r="B10" s="5">
        <v>0</v>
      </c>
      <c r="C10" s="5">
        <v>0.13451205544982764</v>
      </c>
      <c r="D10" s="5">
        <v>0.15541433597023582</v>
      </c>
      <c r="E10" s="5">
        <v>0.21212104718561992</v>
      </c>
      <c r="F10" s="5">
        <v>0.7060938436273223</v>
      </c>
      <c r="G10" s="5">
        <v>0.96419984376770485</v>
      </c>
      <c r="H10" s="5">
        <v>1.0258200692669739</v>
      </c>
      <c r="I10" s="5">
        <v>1.0276562879496778</v>
      </c>
      <c r="J10" s="5">
        <v>1.0417042044256934</v>
      </c>
      <c r="K10" s="5">
        <v>1.0154499735607141</v>
      </c>
      <c r="M10" s="5"/>
      <c r="N10" s="5"/>
      <c r="O10" s="5"/>
      <c r="P10" s="5"/>
      <c r="Q10" s="5"/>
    </row>
    <row r="11" spans="1:17" x14ac:dyDescent="0.35">
      <c r="A11" s="2">
        <v>19</v>
      </c>
      <c r="B11" s="5">
        <v>0</v>
      </c>
      <c r="C11" s="5">
        <v>0.13476423498951812</v>
      </c>
      <c r="D11" s="5">
        <v>0.15477603860200964</v>
      </c>
      <c r="E11" s="5">
        <v>0.21077505162306071</v>
      </c>
      <c r="F11" s="5">
        <v>0.69799264779841019</v>
      </c>
      <c r="G11" s="5">
        <v>0.95474598136619648</v>
      </c>
      <c r="H11" s="5">
        <v>1.0210166181016678</v>
      </c>
      <c r="I11" s="5">
        <v>1.0262565235440531</v>
      </c>
      <c r="J11" s="5">
        <v>1.0407850564823655</v>
      </c>
      <c r="K11" s="5">
        <v>1.0142736178999763</v>
      </c>
      <c r="M11" s="5"/>
      <c r="N11" s="5"/>
      <c r="O11" s="5"/>
      <c r="P11" s="5"/>
      <c r="Q11" s="5"/>
    </row>
    <row r="12" spans="1:17" x14ac:dyDescent="0.35">
      <c r="A12" s="2">
        <v>20</v>
      </c>
      <c r="B12" s="5">
        <v>0</v>
      </c>
      <c r="C12" s="5">
        <v>0.1348690041530772</v>
      </c>
      <c r="D12" s="5">
        <v>0.15393621392092419</v>
      </c>
      <c r="E12" s="5">
        <v>0.2090912102925814</v>
      </c>
      <c r="F12" s="5">
        <v>0.68865308391118674</v>
      </c>
      <c r="G12" s="5">
        <v>0.94349646588817604</v>
      </c>
      <c r="H12" s="5">
        <v>1.0151291123468777</v>
      </c>
      <c r="I12" s="5">
        <v>1.0248546261548976</v>
      </c>
      <c r="J12" s="5">
        <v>1.0398135317373394</v>
      </c>
      <c r="K12" s="5">
        <v>1.0131871953759126</v>
      </c>
      <c r="M12" s="5"/>
      <c r="N12" s="5"/>
      <c r="O12" s="5"/>
      <c r="P12" s="5"/>
      <c r="Q12" s="5"/>
    </row>
    <row r="13" spans="1:17" x14ac:dyDescent="0.35">
      <c r="A13" s="2">
        <v>21</v>
      </c>
      <c r="B13" s="5">
        <v>0</v>
      </c>
      <c r="C13" s="5">
        <v>0.13475264750298854</v>
      </c>
      <c r="D13" s="5">
        <v>0.15285427065299634</v>
      </c>
      <c r="E13" s="5">
        <v>0.20702845526723024</v>
      </c>
      <c r="F13" s="5">
        <v>0.6779409806226635</v>
      </c>
      <c r="G13" s="5">
        <v>0.93029991666044487</v>
      </c>
      <c r="H13" s="5">
        <v>1.0079016302884332</v>
      </c>
      <c r="I13" s="5">
        <v>1.0235137243185608</v>
      </c>
      <c r="J13" s="5">
        <v>1.0389513157793897</v>
      </c>
      <c r="K13" s="5">
        <v>1.0121446963328395</v>
      </c>
      <c r="M13" s="5"/>
      <c r="N13" s="5"/>
      <c r="O13" s="5"/>
      <c r="P13" s="5"/>
      <c r="Q13" s="5"/>
    </row>
    <row r="14" spans="1:17" x14ac:dyDescent="0.35">
      <c r="A14" s="2">
        <v>22</v>
      </c>
      <c r="B14" s="5">
        <v>0</v>
      </c>
      <c r="C14" s="5">
        <v>0.13450319409621622</v>
      </c>
      <c r="D14" s="5">
        <v>0.15156370813712028</v>
      </c>
      <c r="E14" s="5">
        <v>0.20454348337087402</v>
      </c>
      <c r="F14" s="5">
        <v>0.66574337175624632</v>
      </c>
      <c r="G14" s="5">
        <v>0.9150434853814492</v>
      </c>
      <c r="H14" s="5">
        <v>0.99904955143802077</v>
      </c>
      <c r="I14" s="5">
        <v>1.0221822824867084</v>
      </c>
      <c r="J14" s="5">
        <v>1.0380547513813485</v>
      </c>
      <c r="K14" s="5">
        <v>1.0111641858038807</v>
      </c>
      <c r="M14" s="5"/>
      <c r="N14" s="5"/>
      <c r="O14" s="5"/>
      <c r="P14" s="5"/>
      <c r="Q14" s="5"/>
    </row>
    <row r="15" spans="1:17" x14ac:dyDescent="0.35">
      <c r="A15" s="2">
        <v>23</v>
      </c>
      <c r="B15" s="5">
        <v>0</v>
      </c>
      <c r="C15" s="5">
        <v>0.1340336181843155</v>
      </c>
      <c r="D15" s="5">
        <v>0.14995649280528581</v>
      </c>
      <c r="E15" s="5">
        <v>0.20155788267796465</v>
      </c>
      <c r="F15" s="5">
        <v>0.6519269975564661</v>
      </c>
      <c r="G15" s="5">
        <v>0.89755257751849271</v>
      </c>
      <c r="H15" s="5">
        <v>0.98796593374339092</v>
      </c>
      <c r="I15" s="5">
        <v>1.0208988450585652</v>
      </c>
      <c r="J15" s="5">
        <v>1.037077620977553</v>
      </c>
      <c r="K15" s="5">
        <v>1.0102415786566854</v>
      </c>
      <c r="M15" s="5"/>
      <c r="N15" s="5"/>
      <c r="O15" s="5"/>
      <c r="P15" s="5"/>
      <c r="Q15" s="5"/>
    </row>
    <row r="16" spans="1:17" x14ac:dyDescent="0.35">
      <c r="A16" s="2">
        <v>24</v>
      </c>
      <c r="B16" s="5">
        <v>0</v>
      </c>
      <c r="C16" s="5">
        <v>0.13340523289608169</v>
      </c>
      <c r="D16" s="5">
        <v>0.14809323549381898</v>
      </c>
      <c r="E16" s="5">
        <v>0.1980169807415352</v>
      </c>
      <c r="F16" s="5">
        <v>0.63633101039916673</v>
      </c>
      <c r="G16" s="5">
        <v>0.87770006500011566</v>
      </c>
      <c r="H16" s="5">
        <v>0.97438005740917366</v>
      </c>
      <c r="I16" s="5">
        <v>1.0196330150698933</v>
      </c>
      <c r="J16" s="5">
        <v>1.0360720413143574</v>
      </c>
      <c r="K16" s="5">
        <v>1.0093425294524168</v>
      </c>
      <c r="M16" s="5"/>
      <c r="N16" s="5"/>
      <c r="O16" s="5"/>
      <c r="P16" s="5"/>
      <c r="Q16" s="5"/>
    </row>
    <row r="17" spans="1:17" x14ac:dyDescent="0.35">
      <c r="A17" s="2">
        <v>25</v>
      </c>
      <c r="B17" s="5">
        <v>0</v>
      </c>
      <c r="C17" s="5">
        <v>0.13259838721374678</v>
      </c>
      <c r="D17" s="5">
        <v>0.14595251667561013</v>
      </c>
      <c r="E17" s="5">
        <v>0.19386732153342873</v>
      </c>
      <c r="F17" s="5">
        <v>0.61869709354088132</v>
      </c>
      <c r="G17" s="5">
        <v>0.85515205858062826</v>
      </c>
      <c r="H17" s="5">
        <v>0.95778156396137071</v>
      </c>
      <c r="I17" s="5">
        <v>1.0184555031265892</v>
      </c>
      <c r="J17" s="5">
        <v>1.0350983958715989</v>
      </c>
      <c r="K17" s="5">
        <v>1.0083934869418221</v>
      </c>
      <c r="M17" s="5"/>
      <c r="N17" s="5"/>
      <c r="O17" s="5"/>
      <c r="P17" s="5"/>
      <c r="Q17" s="5"/>
    </row>
    <row r="18" spans="1:17" x14ac:dyDescent="0.35">
      <c r="A18" s="2">
        <v>26</v>
      </c>
      <c r="B18" s="5">
        <v>0</v>
      </c>
      <c r="C18" s="5">
        <v>0.13161756143201384</v>
      </c>
      <c r="D18" s="5">
        <v>0.14356562987774371</v>
      </c>
      <c r="E18" s="5">
        <v>0.1890747079708687</v>
      </c>
      <c r="F18" s="5">
        <v>0.59849211066774088</v>
      </c>
      <c r="G18" s="5">
        <v>0.8292508117174735</v>
      </c>
      <c r="H18" s="5">
        <v>0.93722208913817862</v>
      </c>
      <c r="I18" s="5">
        <v>1.0171795226183913</v>
      </c>
      <c r="J18" s="5">
        <v>1.0340980262726995</v>
      </c>
      <c r="K18" s="5">
        <v>1.0074413943222518</v>
      </c>
      <c r="M18" s="5"/>
      <c r="N18" s="5"/>
      <c r="O18" s="5"/>
      <c r="P18" s="5"/>
      <c r="Q18" s="5"/>
    </row>
    <row r="19" spans="1:17" x14ac:dyDescent="0.35">
      <c r="A19" s="2">
        <v>27</v>
      </c>
      <c r="B19" s="5">
        <v>0</v>
      </c>
      <c r="C19" s="5">
        <v>0.13045954272910226</v>
      </c>
      <c r="D19" s="5">
        <v>0.14091532313947605</v>
      </c>
      <c r="E19" s="5">
        <v>0.18360235200609465</v>
      </c>
      <c r="F19" s="5">
        <v>0.57541769674448917</v>
      </c>
      <c r="G19" s="5">
        <v>0.79962770912087255</v>
      </c>
      <c r="H19" s="5">
        <v>0.91199905385023916</v>
      </c>
      <c r="I19" s="5">
        <v>1.0157482723932643</v>
      </c>
      <c r="J19" s="5">
        <v>1.0331434411364608</v>
      </c>
      <c r="K19" s="5">
        <v>1.0064287215528225</v>
      </c>
      <c r="M19" s="5"/>
      <c r="N19" s="5"/>
      <c r="O19" s="5"/>
      <c r="P19" s="5"/>
      <c r="Q19" s="5"/>
    </row>
    <row r="20" spans="1:17" x14ac:dyDescent="0.35">
      <c r="A20" s="2">
        <v>28</v>
      </c>
      <c r="B20" s="5">
        <v>0</v>
      </c>
      <c r="C20" s="5">
        <v>0.12914348443550475</v>
      </c>
      <c r="D20" s="5">
        <v>0.13802912088022107</v>
      </c>
      <c r="E20" s="5">
        <v>0.17745659747799847</v>
      </c>
      <c r="F20" s="5">
        <v>0.54910884374446711</v>
      </c>
      <c r="G20" s="5">
        <v>0.76588381315534515</v>
      </c>
      <c r="H20" s="5">
        <v>0.88161737548034791</v>
      </c>
      <c r="I20" s="5">
        <v>1.0139423960069613</v>
      </c>
      <c r="J20" s="5">
        <v>1.0322532479139719</v>
      </c>
      <c r="K20" s="5">
        <v>1.0053553575798277</v>
      </c>
      <c r="M20" s="5"/>
      <c r="N20" s="5"/>
      <c r="O20" s="5"/>
      <c r="P20" s="5"/>
      <c r="Q20" s="5"/>
    </row>
    <row r="21" spans="1:17" x14ac:dyDescent="0.35">
      <c r="A21" s="2">
        <v>29</v>
      </c>
      <c r="B21" s="5">
        <v>0</v>
      </c>
      <c r="C21" s="5">
        <v>0.12767403370329669</v>
      </c>
      <c r="D21" s="5">
        <v>0.13499308019085823</v>
      </c>
      <c r="E21" s="5">
        <v>0.17067759020868953</v>
      </c>
      <c r="F21" s="5">
        <v>0.51927542450213249</v>
      </c>
      <c r="G21" s="5">
        <v>0.7275534125566292</v>
      </c>
      <c r="H21" s="5">
        <v>0.8453474696594202</v>
      </c>
      <c r="I21" s="5">
        <v>1.0116460804770226</v>
      </c>
      <c r="J21" s="5">
        <v>1.03135625904197</v>
      </c>
      <c r="K21" s="5">
        <v>1.0042998560687109</v>
      </c>
      <c r="M21" s="5"/>
      <c r="N21" s="5"/>
      <c r="O21" s="5"/>
      <c r="P21" s="5"/>
      <c r="Q21" s="5"/>
    </row>
    <row r="22" spans="1:17" x14ac:dyDescent="0.35">
      <c r="A22" s="2">
        <v>30</v>
      </c>
      <c r="B22" s="5">
        <v>0</v>
      </c>
      <c r="C22" s="5">
        <v>0.12615456567590178</v>
      </c>
      <c r="D22" s="5">
        <v>0.13191005677882706</v>
      </c>
      <c r="E22" s="5">
        <v>0.16347671305447037</v>
      </c>
      <c r="F22" s="5">
        <v>0.48598146340772874</v>
      </c>
      <c r="G22" s="5">
        <v>0.68462283660527157</v>
      </c>
      <c r="H22" s="5">
        <v>0.80285036402251697</v>
      </c>
      <c r="I22" s="5">
        <v>1.0085458895375827</v>
      </c>
      <c r="J22" s="5">
        <v>1.0304147556074454</v>
      </c>
      <c r="K22" s="5">
        <v>1.0033906080514603</v>
      </c>
      <c r="M22" s="5"/>
      <c r="N22" s="5"/>
      <c r="O22" s="5"/>
      <c r="P22" s="5"/>
      <c r="Q22" s="5"/>
    </row>
    <row r="23" spans="1:17" x14ac:dyDescent="0.35">
      <c r="A23" s="2">
        <v>31</v>
      </c>
      <c r="B23" s="5">
        <v>0</v>
      </c>
      <c r="C23" s="5">
        <v>0.12474087417732344</v>
      </c>
      <c r="D23" s="5">
        <v>0.12896950726923831</v>
      </c>
      <c r="E23" s="5">
        <v>0.15612407316098184</v>
      </c>
      <c r="F23" s="5">
        <v>0.45003108780705847</v>
      </c>
      <c r="G23" s="5">
        <v>0.63784916114109291</v>
      </c>
      <c r="H23" s="5">
        <v>0.75477122145916642</v>
      </c>
      <c r="I23" s="5">
        <v>1.0043711234778641</v>
      </c>
      <c r="J23" s="5">
        <v>1.0293236696332917</v>
      </c>
      <c r="K23" s="5">
        <v>1.0026209606407344</v>
      </c>
      <c r="M23" s="5"/>
      <c r="N23" s="5"/>
      <c r="O23" s="5"/>
      <c r="P23" s="5"/>
      <c r="Q23" s="5"/>
    </row>
    <row r="24" spans="1:17" x14ac:dyDescent="0.35">
      <c r="A24" s="2">
        <v>32</v>
      </c>
      <c r="B24" s="5">
        <v>0</v>
      </c>
      <c r="C24" s="5">
        <v>0.12346430895821033</v>
      </c>
      <c r="D24" s="5">
        <v>0.12626793826946792</v>
      </c>
      <c r="E24" s="5">
        <v>0.14887835358702345</v>
      </c>
      <c r="F24" s="5">
        <v>0.41202806752737642</v>
      </c>
      <c r="G24" s="5">
        <v>0.58756606589794114</v>
      </c>
      <c r="H24" s="5">
        <v>0.70144366800709768</v>
      </c>
      <c r="I24" s="5">
        <v>0.99861815251603347</v>
      </c>
      <c r="J24" s="5">
        <v>1.0279086833741091</v>
      </c>
      <c r="K24" s="5">
        <v>1.0020004011971815</v>
      </c>
      <c r="M24" s="5"/>
      <c r="N24" s="5"/>
      <c r="O24" s="5"/>
      <c r="P24" s="5"/>
      <c r="Q24" s="5"/>
    </row>
    <row r="25" spans="1:17" x14ac:dyDescent="0.35">
      <c r="A25" s="2">
        <v>33</v>
      </c>
      <c r="B25" s="5">
        <v>0</v>
      </c>
      <c r="C25" s="5">
        <v>0.12240416420178157</v>
      </c>
      <c r="D25" s="5">
        <v>0.12400033086674117</v>
      </c>
      <c r="E25" s="5">
        <v>0.14208193665061039</v>
      </c>
      <c r="F25" s="5">
        <v>0.37294384913078327</v>
      </c>
      <c r="G25" s="5">
        <v>0.53461889841096166</v>
      </c>
      <c r="H25" s="5">
        <v>0.64358713897803665</v>
      </c>
      <c r="I25" s="5">
        <v>0.99060689881167341</v>
      </c>
      <c r="J25" s="5">
        <v>1.0259510055288859</v>
      </c>
      <c r="K25" s="5">
        <v>1.0015118041502551</v>
      </c>
      <c r="M25" s="5"/>
      <c r="N25" s="5"/>
      <c r="O25" s="5"/>
      <c r="P25" s="5"/>
      <c r="Q25" s="5"/>
    </row>
    <row r="26" spans="1:17" x14ac:dyDescent="0.35">
      <c r="A26" s="2">
        <v>34</v>
      </c>
      <c r="B26" s="5">
        <v>0</v>
      </c>
      <c r="C26" s="5">
        <v>0.12161554526691282</v>
      </c>
      <c r="D26" s="5">
        <v>0.12220310447790791</v>
      </c>
      <c r="E26" s="5">
        <v>0.13606229295652542</v>
      </c>
      <c r="F26" s="5">
        <v>0.33405225927939874</v>
      </c>
      <c r="G26" s="5">
        <v>0.48035103714780042</v>
      </c>
      <c r="H26" s="5">
        <v>0.58260669478945748</v>
      </c>
      <c r="I26" s="5">
        <v>0.97929575338039121</v>
      </c>
      <c r="J26" s="5">
        <v>1.0230822620079769</v>
      </c>
      <c r="K26" s="5">
        <v>1.0009880273480438</v>
      </c>
      <c r="M26" s="5"/>
      <c r="N26" s="5"/>
      <c r="O26" s="5"/>
      <c r="P26" s="5"/>
      <c r="Q26" s="5"/>
    </row>
    <row r="27" spans="1:17" x14ac:dyDescent="0.35">
      <c r="A27" s="2">
        <v>35</v>
      </c>
      <c r="B27" s="5">
        <v>0</v>
      </c>
      <c r="C27" s="5">
        <v>0.12109149496571324</v>
      </c>
      <c r="D27" s="5">
        <v>0.12097715803227437</v>
      </c>
      <c r="E27" s="5">
        <v>0.13099723454435569</v>
      </c>
      <c r="F27" s="5">
        <v>0.296629382372531</v>
      </c>
      <c r="G27" s="5">
        <v>0.42615012328366536</v>
      </c>
      <c r="H27" s="5">
        <v>0.52016410039374095</v>
      </c>
      <c r="I27" s="5">
        <v>0.96332578494810994</v>
      </c>
      <c r="J27" s="5">
        <v>1.0188159921735653</v>
      </c>
      <c r="K27" s="5">
        <v>1.0002569028069237</v>
      </c>
      <c r="M27" s="5"/>
      <c r="N27" s="5"/>
      <c r="O27" s="5"/>
      <c r="P27" s="5"/>
      <c r="Q27" s="5"/>
    </row>
    <row r="28" spans="1:17" x14ac:dyDescent="0.35">
      <c r="A28" s="2">
        <v>36</v>
      </c>
      <c r="B28" s="5">
        <v>0</v>
      </c>
      <c r="C28" s="5">
        <v>0.1207039083624622</v>
      </c>
      <c r="D28" s="5">
        <v>0.12017070578866057</v>
      </c>
      <c r="E28" s="5">
        <v>0.1269243243355008</v>
      </c>
      <c r="F28" s="5">
        <v>0.26171381552177891</v>
      </c>
      <c r="G28" s="5">
        <v>0.37339154317538598</v>
      </c>
      <c r="H28" s="5">
        <v>0.45783867570532183</v>
      </c>
      <c r="I28" s="5">
        <v>0.94098719259384134</v>
      </c>
      <c r="J28" s="5">
        <v>1.0123823339257465</v>
      </c>
      <c r="K28" s="5">
        <v>0.99898565363605407</v>
      </c>
      <c r="M28" s="5"/>
      <c r="N28" s="5"/>
      <c r="O28" s="5"/>
      <c r="P28" s="5"/>
      <c r="Q28" s="5"/>
    </row>
    <row r="29" spans="1:17" x14ac:dyDescent="0.35">
      <c r="A29" s="2">
        <v>37</v>
      </c>
      <c r="B29" s="5">
        <v>0</v>
      </c>
      <c r="C29" s="5">
        <v>0.12050196084127446</v>
      </c>
      <c r="D29" s="5">
        <v>0.11986079507562093</v>
      </c>
      <c r="E29" s="5">
        <v>0.12390485775759878</v>
      </c>
      <c r="F29" s="5">
        <v>0.2304288013832845</v>
      </c>
      <c r="G29" s="5">
        <v>0.32398164523494849</v>
      </c>
      <c r="H29" s="5">
        <v>0.39793204972134</v>
      </c>
      <c r="I29" s="5">
        <v>0.91048037900306655</v>
      </c>
      <c r="J29" s="5">
        <v>1.0027788633539441</v>
      </c>
      <c r="K29" s="5">
        <v>0.99686539867564783</v>
      </c>
      <c r="M29" s="5"/>
      <c r="N29" s="5"/>
      <c r="O29" s="5"/>
      <c r="P29" s="5"/>
      <c r="Q29" s="5"/>
    </row>
    <row r="30" spans="1:17" x14ac:dyDescent="0.35">
      <c r="A30" s="2">
        <v>38</v>
      </c>
      <c r="B30" s="5">
        <v>0</v>
      </c>
      <c r="C30" s="5">
        <v>0.1204657456933494</v>
      </c>
      <c r="D30" s="5">
        <v>0.11989431733964542</v>
      </c>
      <c r="E30" s="5">
        <v>0.12184577535365379</v>
      </c>
      <c r="F30" s="5">
        <v>0.20362017567911389</v>
      </c>
      <c r="G30" s="5">
        <v>0.27945254200043312</v>
      </c>
      <c r="H30" s="5">
        <v>0.34255982896956677</v>
      </c>
      <c r="I30" s="5">
        <v>0.8701647769034323</v>
      </c>
      <c r="J30" s="5">
        <v>0.98856388128455097</v>
      </c>
      <c r="K30" s="5">
        <v>0.99333010646461251</v>
      </c>
      <c r="M30" s="5"/>
      <c r="N30" s="5"/>
      <c r="O30" s="5"/>
      <c r="P30" s="5"/>
      <c r="Q30" s="5"/>
    </row>
    <row r="31" spans="1:17" x14ac:dyDescent="0.35">
      <c r="A31" s="2">
        <v>39</v>
      </c>
      <c r="B31" s="5">
        <v>0</v>
      </c>
      <c r="C31" s="5">
        <v>0.12059899302348284</v>
      </c>
      <c r="D31" s="5">
        <v>0.12026787395645876</v>
      </c>
      <c r="E31" s="5">
        <v>0.12058579551687454</v>
      </c>
      <c r="F31" s="5">
        <v>0.18159545127308141</v>
      </c>
      <c r="G31" s="5">
        <v>0.24087156990040726</v>
      </c>
      <c r="H31" s="5">
        <v>0.29337043246421096</v>
      </c>
      <c r="I31" s="5">
        <v>0.81915127216773509</v>
      </c>
      <c r="J31" s="5">
        <v>0.96808495691228491</v>
      </c>
      <c r="K31" s="5">
        <v>0.98762418657125473</v>
      </c>
      <c r="M31" s="5"/>
      <c r="N31" s="5"/>
      <c r="O31" s="5"/>
      <c r="P31" s="5"/>
      <c r="Q31" s="5"/>
    </row>
    <row r="32" spans="1:17" x14ac:dyDescent="0.35">
      <c r="A32" s="2">
        <v>40</v>
      </c>
      <c r="B32" s="5">
        <v>0</v>
      </c>
      <c r="C32" s="5">
        <v>0.12093337577010904</v>
      </c>
      <c r="D32" s="5">
        <v>0.12084886357619998</v>
      </c>
      <c r="E32" s="5">
        <v>0.12000369922561063</v>
      </c>
      <c r="F32" s="5">
        <v>0.16434894193117014</v>
      </c>
      <c r="G32" s="5">
        <v>0.20896616576992841</v>
      </c>
      <c r="H32" s="5">
        <v>0.25160055901327621</v>
      </c>
      <c r="I32" s="5">
        <v>0.75767961650870963</v>
      </c>
      <c r="J32" s="5">
        <v>0.93940159041145699</v>
      </c>
      <c r="K32" s="5">
        <v>0.97863406034806544</v>
      </c>
      <c r="M32" s="5"/>
      <c r="N32" s="5"/>
      <c r="O32" s="5"/>
      <c r="P32" s="5"/>
      <c r="Q32" s="5"/>
    </row>
    <row r="33" spans="1:17" x14ac:dyDescent="0.35">
      <c r="A33" s="2">
        <v>41</v>
      </c>
      <c r="B33" s="5">
        <v>0</v>
      </c>
      <c r="C33" s="5">
        <v>0.12147665781703668</v>
      </c>
      <c r="D33" s="5">
        <v>0.12166351048569887</v>
      </c>
      <c r="E33" s="5">
        <v>0.11997095380605911</v>
      </c>
      <c r="F33" s="5">
        <v>0.15146904116914625</v>
      </c>
      <c r="G33" s="5">
        <v>0.18404005371634904</v>
      </c>
      <c r="H33" s="5">
        <v>0.21771370106644494</v>
      </c>
      <c r="I33" s="5">
        <v>0.68745045127011017</v>
      </c>
      <c r="J33" s="5">
        <v>0.90078383847440635</v>
      </c>
      <c r="K33" s="5">
        <v>0.96499001804138251</v>
      </c>
      <c r="M33" s="5"/>
      <c r="N33" s="5"/>
      <c r="O33" s="5"/>
      <c r="P33" s="5"/>
      <c r="Q33" s="5"/>
    </row>
    <row r="34" spans="1:17" x14ac:dyDescent="0.35">
      <c r="A34" s="2">
        <v>42</v>
      </c>
      <c r="B34" s="5">
        <v>0</v>
      </c>
      <c r="C34" s="5">
        <v>0.12221389907609009</v>
      </c>
      <c r="D34" s="5">
        <v>0.12255289536570892</v>
      </c>
      <c r="E34" s="5">
        <v>0.12033220573280852</v>
      </c>
      <c r="F34" s="5">
        <v>0.1423326388502944</v>
      </c>
      <c r="G34" s="5">
        <v>0.16553619203989092</v>
      </c>
      <c r="H34" s="5">
        <v>0.19138445839778259</v>
      </c>
      <c r="I34" s="5">
        <v>0.61158730152776053</v>
      </c>
      <c r="J34" s="5">
        <v>0.85104911956968698</v>
      </c>
      <c r="K34" s="5">
        <v>0.94499377506299109</v>
      </c>
      <c r="M34" s="5"/>
      <c r="N34" s="5"/>
      <c r="O34" s="5"/>
      <c r="P34" s="5"/>
      <c r="Q34" s="5"/>
    </row>
    <row r="35" spans="1:17" x14ac:dyDescent="0.35">
      <c r="A35" s="2">
        <v>43</v>
      </c>
      <c r="B35" s="5">
        <v>0</v>
      </c>
      <c r="C35" s="5">
        <v>0.12317747272282994</v>
      </c>
      <c r="D35" s="5">
        <v>0.12362960478710563</v>
      </c>
      <c r="E35" s="5">
        <v>0.12104727701840633</v>
      </c>
      <c r="F35" s="5">
        <v>0.13620549723738573</v>
      </c>
      <c r="G35" s="5">
        <v>0.15270683560800577</v>
      </c>
      <c r="H35" s="5">
        <v>0.17184771135109031</v>
      </c>
      <c r="I35" s="5">
        <v>0.53433666705031679</v>
      </c>
      <c r="J35" s="5">
        <v>0.79027452276199273</v>
      </c>
      <c r="K35" s="5">
        <v>0.91672938361136125</v>
      </c>
      <c r="M35" s="5"/>
      <c r="N35" s="5"/>
      <c r="O35" s="5"/>
      <c r="P35" s="5"/>
      <c r="Q35" s="5"/>
    </row>
    <row r="36" spans="1:17" x14ac:dyDescent="0.35">
      <c r="A36" s="2">
        <v>44</v>
      </c>
      <c r="B36" s="5">
        <v>0</v>
      </c>
      <c r="C36" s="5">
        <v>0.12434044634326863</v>
      </c>
      <c r="D36" s="5">
        <v>0.12480912893914144</v>
      </c>
      <c r="E36" s="5">
        <v>0.12206349600522223</v>
      </c>
      <c r="F36" s="5">
        <v>0.13247488757643677</v>
      </c>
      <c r="G36" s="5">
        <v>0.14456771164140131</v>
      </c>
      <c r="H36" s="5">
        <v>0.15806633710072615</v>
      </c>
      <c r="I36" s="5">
        <v>0.46005863231191563</v>
      </c>
      <c r="J36" s="5">
        <v>0.72000270224941687</v>
      </c>
      <c r="K36" s="5">
        <v>0.87864147571283591</v>
      </c>
      <c r="M36" s="5"/>
      <c r="N36" s="5"/>
      <c r="O36" s="5"/>
      <c r="P36" s="5"/>
      <c r="Q36" s="5"/>
    </row>
    <row r="37" spans="1:17" x14ac:dyDescent="0.35">
      <c r="A37" s="2">
        <v>45</v>
      </c>
      <c r="B37" s="5">
        <v>0</v>
      </c>
      <c r="C37" s="5">
        <v>0.12568343105730728</v>
      </c>
      <c r="D37" s="5">
        <v>0.1261252329306457</v>
      </c>
      <c r="E37" s="5">
        <v>0.12331401326098221</v>
      </c>
      <c r="F37" s="5">
        <v>0.13054882373376767</v>
      </c>
      <c r="G37" s="5">
        <v>0.14011959450176112</v>
      </c>
      <c r="H37" s="5">
        <v>0.148781914621889</v>
      </c>
      <c r="I37" s="5">
        <v>0.39275540602715242</v>
      </c>
      <c r="J37" s="5">
        <v>0.64363866468843889</v>
      </c>
      <c r="K37" s="5">
        <v>0.83020116082507833</v>
      </c>
      <c r="M37" s="5"/>
      <c r="N37" s="5"/>
      <c r="O37" s="5"/>
      <c r="P37" s="5"/>
      <c r="Q37" s="5"/>
    </row>
    <row r="38" spans="1:17" x14ac:dyDescent="0.35">
      <c r="A38" s="2">
        <v>46</v>
      </c>
      <c r="B38" s="5">
        <v>0</v>
      </c>
      <c r="C38" s="5">
        <v>0.12731655696999161</v>
      </c>
      <c r="D38" s="5">
        <v>0.12766322814974715</v>
      </c>
      <c r="E38" s="5">
        <v>0.12485808160832838</v>
      </c>
      <c r="F38" s="5">
        <v>0.13000883842534428</v>
      </c>
      <c r="G38" s="5">
        <v>0.13801168580703788</v>
      </c>
      <c r="H38" s="5">
        <v>0.14298482302505117</v>
      </c>
      <c r="I38" s="5">
        <v>0.33520283354917191</v>
      </c>
      <c r="J38" s="5">
        <v>0.56545528248744381</v>
      </c>
      <c r="K38" s="5">
        <v>0.77188309482459438</v>
      </c>
      <c r="M38" s="5"/>
      <c r="N38" s="5"/>
      <c r="O38" s="5"/>
      <c r="P38" s="5"/>
      <c r="Q38" s="5"/>
    </row>
    <row r="39" spans="1:17" x14ac:dyDescent="0.35">
      <c r="A39" s="2">
        <v>47</v>
      </c>
      <c r="B39" s="5">
        <v>0</v>
      </c>
      <c r="C39" s="5">
        <v>0.12926152443050812</v>
      </c>
      <c r="D39" s="5">
        <v>0.12950975329523934</v>
      </c>
      <c r="E39" s="5">
        <v>0.12672823300290476</v>
      </c>
      <c r="F39" s="5">
        <v>0.13057031459183663</v>
      </c>
      <c r="G39" s="5">
        <v>0.13755719579778675</v>
      </c>
      <c r="H39" s="5">
        <v>0.13980019566503324</v>
      </c>
      <c r="I39" s="5">
        <v>0.2886937554332889</v>
      </c>
      <c r="J39" s="5">
        <v>0.49014769543502584</v>
      </c>
      <c r="K39" s="5">
        <v>0.70543686607036027</v>
      </c>
      <c r="M39" s="5"/>
      <c r="N39" s="5"/>
      <c r="O39" s="5"/>
      <c r="P39" s="5"/>
      <c r="Q39" s="5"/>
    </row>
    <row r="40" spans="1:17" x14ac:dyDescent="0.35">
      <c r="A40" s="2">
        <v>48</v>
      </c>
      <c r="B40" s="5">
        <v>0</v>
      </c>
      <c r="C40" s="5">
        <v>0.13157742367225378</v>
      </c>
      <c r="D40" s="5">
        <v>0.13168569841867434</v>
      </c>
      <c r="E40" s="5">
        <v>0.12895502893263147</v>
      </c>
      <c r="F40" s="5">
        <v>0.13207255800770262</v>
      </c>
      <c r="G40" s="5">
        <v>0.13827294401960497</v>
      </c>
      <c r="H40" s="5">
        <v>0.13861270039654355</v>
      </c>
      <c r="I40" s="5">
        <v>0.25307906986391843</v>
      </c>
      <c r="J40" s="5">
        <v>0.42198425029586034</v>
      </c>
      <c r="K40" s="5">
        <v>0.63427266338880151</v>
      </c>
      <c r="M40" s="5"/>
      <c r="N40" s="5"/>
      <c r="O40" s="5"/>
      <c r="P40" s="5"/>
      <c r="Q40" s="5"/>
    </row>
    <row r="41" spans="1:17" x14ac:dyDescent="0.35">
      <c r="A41" s="2">
        <v>49</v>
      </c>
      <c r="B41" s="5">
        <v>0</v>
      </c>
      <c r="C41" s="5">
        <v>0.13439513680801909</v>
      </c>
      <c r="D41" s="5">
        <v>0.13433668889374248</v>
      </c>
      <c r="E41" s="5">
        <v>0.1316982013691439</v>
      </c>
      <c r="F41" s="5">
        <v>0.13437540395486783</v>
      </c>
      <c r="G41" s="5">
        <v>0.13994178483812766</v>
      </c>
      <c r="H41" s="5">
        <v>0.13893535343089328</v>
      </c>
      <c r="I41" s="5">
        <v>0.22737178645356185</v>
      </c>
      <c r="J41" s="5">
        <v>0.36392799032750756</v>
      </c>
      <c r="K41" s="5">
        <v>0.56260694291280255</v>
      </c>
      <c r="M41" s="5"/>
      <c r="N41" s="5"/>
      <c r="O41" s="5"/>
      <c r="P41" s="5"/>
      <c r="Q41" s="5"/>
    </row>
    <row r="42" spans="1:17" x14ac:dyDescent="0.35">
      <c r="A42" s="2">
        <v>50</v>
      </c>
      <c r="B42" s="5">
        <v>0</v>
      </c>
      <c r="C42" s="5">
        <v>0.13785222894443686</v>
      </c>
      <c r="D42" s="5">
        <v>0.13765425304716541</v>
      </c>
      <c r="E42" s="5">
        <v>0.13507014129131442</v>
      </c>
      <c r="F42" s="5">
        <v>0.13750151242237252</v>
      </c>
      <c r="G42" s="5">
        <v>0.1423940653703</v>
      </c>
      <c r="H42" s="5">
        <v>0.14063304287011585</v>
      </c>
      <c r="I42" s="5">
        <v>0.2098236262976981</v>
      </c>
      <c r="J42" s="5">
        <v>0.31692081924381182</v>
      </c>
      <c r="K42" s="5">
        <v>0.49415449369981629</v>
      </c>
      <c r="M42" s="5"/>
      <c r="N42" s="5"/>
      <c r="O42" s="5"/>
      <c r="P42" s="5"/>
      <c r="Q42" s="5"/>
    </row>
    <row r="43" spans="1:17" x14ac:dyDescent="0.35">
      <c r="A43" s="2">
        <v>51</v>
      </c>
      <c r="B43" s="5">
        <v>0</v>
      </c>
      <c r="C43" s="5">
        <v>0.14206049283682975</v>
      </c>
      <c r="D43" s="5">
        <v>0.14174207840124542</v>
      </c>
      <c r="E43" s="5">
        <v>0.13920823530632287</v>
      </c>
      <c r="F43" s="5">
        <v>0.14151767732986315</v>
      </c>
      <c r="G43" s="5">
        <v>0.14588400617606295</v>
      </c>
      <c r="H43" s="5">
        <v>0.14357850227761293</v>
      </c>
      <c r="I43" s="5">
        <v>0.19878517573223289</v>
      </c>
      <c r="J43" s="5">
        <v>0.28105754218589385</v>
      </c>
      <c r="K43" s="5">
        <v>0.43254840652247784</v>
      </c>
      <c r="M43" s="5"/>
      <c r="N43" s="5"/>
      <c r="O43" s="5"/>
      <c r="P43" s="5"/>
      <c r="Q43" s="5"/>
    </row>
    <row r="44" spans="1:17" x14ac:dyDescent="0.35">
      <c r="A44" s="2">
        <v>52</v>
      </c>
      <c r="B44" s="5">
        <v>0</v>
      </c>
      <c r="C44" s="5">
        <v>0.14723635440091129</v>
      </c>
      <c r="D44" s="5">
        <v>0.14684553792693014</v>
      </c>
      <c r="E44" s="5">
        <v>0.14430250767834424</v>
      </c>
      <c r="F44" s="5">
        <v>0.14654633668896622</v>
      </c>
      <c r="G44" s="5">
        <v>0.15055081213513233</v>
      </c>
      <c r="H44" s="5">
        <v>0.14780922416164693</v>
      </c>
      <c r="I44" s="5">
        <v>0.19288793690238801</v>
      </c>
      <c r="J44" s="5">
        <v>0.25540807174898178</v>
      </c>
      <c r="K44" s="5">
        <v>0.38045664132215579</v>
      </c>
      <c r="M44" s="5"/>
      <c r="N44" s="5"/>
      <c r="O44" s="5"/>
      <c r="P44" s="5"/>
      <c r="Q44" s="5"/>
    </row>
    <row r="45" spans="1:17" x14ac:dyDescent="0.35">
      <c r="A45" s="2">
        <v>53</v>
      </c>
      <c r="B45" s="5">
        <v>0</v>
      </c>
      <c r="C45" s="5">
        <v>0.15353271652020983</v>
      </c>
      <c r="D45" s="5">
        <v>0.15312830133266928</v>
      </c>
      <c r="E45" s="5">
        <v>0.15053152202176101</v>
      </c>
      <c r="F45" s="5">
        <v>0.15268932790296569</v>
      </c>
      <c r="G45" s="5">
        <v>0.15644322622606155</v>
      </c>
      <c r="H45" s="5">
        <v>0.15332693946926529</v>
      </c>
      <c r="I45" s="5">
        <v>0.19107065167767306</v>
      </c>
      <c r="J45" s="5">
        <v>0.23838197835345734</v>
      </c>
      <c r="K45" s="5">
        <v>0.33901701116901811</v>
      </c>
      <c r="M45" s="5"/>
      <c r="N45" s="5"/>
      <c r="O45" s="5"/>
      <c r="P45" s="5"/>
      <c r="Q45" s="5"/>
    </row>
    <row r="46" spans="1:17" x14ac:dyDescent="0.35">
      <c r="A46" s="2">
        <v>54</v>
      </c>
      <c r="B46" s="5">
        <v>0</v>
      </c>
      <c r="C46" s="5">
        <v>0.1611754125873667</v>
      </c>
      <c r="D46" s="5">
        <v>0.16080769389182312</v>
      </c>
      <c r="E46" s="5">
        <v>0.15804876293544684</v>
      </c>
      <c r="F46" s="5">
        <v>0.16021103817066898</v>
      </c>
      <c r="G46" s="5">
        <v>0.16371909162969209</v>
      </c>
      <c r="H46" s="5">
        <v>0.16034008747546713</v>
      </c>
      <c r="I46" s="5">
        <v>0.19257387116800181</v>
      </c>
      <c r="J46" s="5">
        <v>0.2284245028546022</v>
      </c>
      <c r="K46" s="5">
        <v>0.30814351281241364</v>
      </c>
      <c r="M46" s="5"/>
      <c r="N46" s="5"/>
      <c r="O46" s="5"/>
      <c r="P46" s="5"/>
      <c r="Q46" s="5"/>
    </row>
    <row r="47" spans="1:17" x14ac:dyDescent="0.35">
      <c r="A47" s="2">
        <v>55</v>
      </c>
      <c r="B47" s="5">
        <v>0</v>
      </c>
      <c r="C47" s="5">
        <v>0.17035515497761389</v>
      </c>
      <c r="D47" s="5">
        <v>0.16999474696011233</v>
      </c>
      <c r="E47" s="5">
        <v>0.16709114390090446</v>
      </c>
      <c r="F47" s="5">
        <v>0.16929772632844337</v>
      </c>
      <c r="G47" s="5">
        <v>0.17258585833734277</v>
      </c>
      <c r="H47" s="5">
        <v>0.16895934901896972</v>
      </c>
      <c r="I47" s="5">
        <v>0.19704885710938852</v>
      </c>
      <c r="J47" s="5">
        <v>0.22443713798577108</v>
      </c>
      <c r="K47" s="5">
        <v>0.2872716310504832</v>
      </c>
      <c r="M47" s="5"/>
      <c r="N47" s="5"/>
      <c r="O47" s="5"/>
      <c r="P47" s="5"/>
      <c r="Q47" s="5"/>
    </row>
    <row r="48" spans="1:17" x14ac:dyDescent="0.35">
      <c r="A48" s="2">
        <v>56</v>
      </c>
      <c r="B48" s="5">
        <v>0</v>
      </c>
      <c r="C48" s="5">
        <v>0.18136696225906576</v>
      </c>
      <c r="D48" s="5">
        <v>0.18098239019502566</v>
      </c>
      <c r="E48" s="5">
        <v>0.17788212792897273</v>
      </c>
      <c r="F48" s="5">
        <v>0.18019863677046408</v>
      </c>
      <c r="G48" s="5">
        <v>0.18323572697673005</v>
      </c>
      <c r="H48" s="5">
        <v>0.17940398332778837</v>
      </c>
      <c r="I48" s="5">
        <v>0.20431474748493078</v>
      </c>
      <c r="J48" s="5">
        <v>0.22541171976906374</v>
      </c>
      <c r="K48" s="5">
        <v>0.27518496633073419</v>
      </c>
      <c r="M48" s="5"/>
      <c r="N48" s="5"/>
      <c r="O48" s="5"/>
      <c r="P48" s="5"/>
      <c r="Q48" s="5"/>
    </row>
    <row r="49" spans="1:17" x14ac:dyDescent="0.35">
      <c r="A49" s="2">
        <v>57</v>
      </c>
      <c r="B49" s="5">
        <v>0</v>
      </c>
      <c r="C49" s="5">
        <v>0.19443694169002998</v>
      </c>
      <c r="D49" s="5">
        <v>0.19399669364128724</v>
      </c>
      <c r="E49" s="5">
        <v>0.19073199056402665</v>
      </c>
      <c r="F49" s="5">
        <v>0.1931845331031585</v>
      </c>
      <c r="G49" s="5">
        <v>0.19590227554623679</v>
      </c>
      <c r="H49" s="5">
        <v>0.19195766688766785</v>
      </c>
      <c r="I49" s="5">
        <v>0.21432387292003918</v>
      </c>
      <c r="J49" s="5">
        <v>0.23064377788549145</v>
      </c>
      <c r="K49" s="5">
        <v>0.27053858710086037</v>
      </c>
      <c r="M49" s="5"/>
      <c r="N49" s="5"/>
      <c r="O49" s="5"/>
      <c r="P49" s="5"/>
      <c r="Q49" s="5"/>
    </row>
    <row r="50" spans="1:17" x14ac:dyDescent="0.35">
      <c r="A50" s="2">
        <v>58</v>
      </c>
      <c r="B50" s="5">
        <v>0</v>
      </c>
      <c r="C50" s="5">
        <v>0.20987556366109103</v>
      </c>
      <c r="D50" s="5">
        <v>0.20928262023093977</v>
      </c>
      <c r="E50" s="5">
        <v>0.20592778838116399</v>
      </c>
      <c r="F50" s="5">
        <v>0.20856328253177434</v>
      </c>
      <c r="G50" s="5">
        <v>0.21092047399667052</v>
      </c>
      <c r="H50" s="5">
        <v>0.2068860129849163</v>
      </c>
      <c r="I50" s="5">
        <v>0.22718870501101029</v>
      </c>
      <c r="J50" s="5">
        <v>0.23984281609674227</v>
      </c>
      <c r="K50" s="5">
        <v>0.27221817474635285</v>
      </c>
      <c r="M50" s="5"/>
      <c r="N50" s="5"/>
      <c r="O50" s="5"/>
      <c r="P50" s="5"/>
      <c r="Q50" s="5"/>
    </row>
    <row r="51" spans="1:17" x14ac:dyDescent="0.35">
      <c r="A51" s="2">
        <v>59</v>
      </c>
      <c r="B51" s="5">
        <v>0</v>
      </c>
      <c r="C51" s="5">
        <v>0.2279832547463751</v>
      </c>
      <c r="D51" s="5">
        <v>0.2271937349153762</v>
      </c>
      <c r="E51" s="5">
        <v>0.22380606772621969</v>
      </c>
      <c r="F51" s="5">
        <v>0.22660812894159038</v>
      </c>
      <c r="G51" s="5">
        <v>0.22853860319423894</v>
      </c>
      <c r="H51" s="5">
        <v>0.22452353423767307</v>
      </c>
      <c r="I51" s="5">
        <v>0.24304840813679662</v>
      </c>
      <c r="J51" s="5">
        <v>0.25292395810945895</v>
      </c>
      <c r="K51" s="5">
        <v>0.27943398763040739</v>
      </c>
      <c r="M51" s="5"/>
      <c r="N51" s="5"/>
      <c r="O51" s="5"/>
      <c r="P51" s="5"/>
      <c r="Q51" s="5"/>
    </row>
    <row r="52" spans="1:17" x14ac:dyDescent="0.35">
      <c r="A52" s="2">
        <v>60</v>
      </c>
      <c r="B52" s="5">
        <v>0</v>
      </c>
      <c r="C52" s="5">
        <v>0.24907637184820128</v>
      </c>
      <c r="D52" s="5">
        <v>0.24810145127818151</v>
      </c>
      <c r="E52" s="5">
        <v>0.24471170752863555</v>
      </c>
      <c r="F52" s="5">
        <v>0.24762957518880252</v>
      </c>
      <c r="G52" s="5">
        <v>0.24904921006087685</v>
      </c>
      <c r="H52" s="5">
        <v>0.24516014251469362</v>
      </c>
      <c r="I52" s="5">
        <v>0.26214729669868031</v>
      </c>
      <c r="J52" s="5">
        <v>0.26987011842221176</v>
      </c>
      <c r="K52" s="5">
        <v>0.2916783179656427</v>
      </c>
      <c r="M52" s="5"/>
      <c r="N52" s="5"/>
      <c r="O52" s="5"/>
      <c r="P52" s="5"/>
      <c r="Q52" s="5"/>
    </row>
    <row r="53" spans="1:17" x14ac:dyDescent="0.35">
      <c r="A53" s="2">
        <v>61</v>
      </c>
      <c r="B53" s="5">
        <v>0</v>
      </c>
      <c r="C53" s="5">
        <v>0.27338168549040187</v>
      </c>
      <c r="D53" s="5">
        <v>0.27223275215010162</v>
      </c>
      <c r="E53" s="5">
        <v>0.26893568612725277</v>
      </c>
      <c r="F53" s="5">
        <v>0.27191232020004091</v>
      </c>
      <c r="G53" s="5">
        <v>0.27276486329019595</v>
      </c>
      <c r="H53" s="5">
        <v>0.26907776511019832</v>
      </c>
      <c r="I53" s="5">
        <v>0.28465930552136248</v>
      </c>
      <c r="J53" s="5">
        <v>0.29074255652111475</v>
      </c>
      <c r="K53" s="5">
        <v>0.30863921139330591</v>
      </c>
      <c r="M53" s="5"/>
      <c r="N53" s="5"/>
      <c r="O53" s="5"/>
      <c r="P53" s="5"/>
      <c r="Q53" s="5"/>
    </row>
    <row r="54" spans="1:17" x14ac:dyDescent="0.35">
      <c r="A54" s="2">
        <v>62</v>
      </c>
      <c r="B54" s="5">
        <v>0</v>
      </c>
      <c r="C54" s="5">
        <v>0.30097014186720528</v>
      </c>
      <c r="D54" s="5">
        <v>0.29972074015259448</v>
      </c>
      <c r="E54" s="5">
        <v>0.29649724460614285</v>
      </c>
      <c r="F54" s="5">
        <v>0.29950871787426497</v>
      </c>
      <c r="G54" s="5">
        <v>0.29981485837854488</v>
      </c>
      <c r="H54" s="5">
        <v>0.2963519355979366</v>
      </c>
      <c r="I54" s="5">
        <v>0.31062937156343512</v>
      </c>
      <c r="J54" s="5">
        <v>0.31545259307141432</v>
      </c>
      <c r="K54" s="5">
        <v>0.33002046057890633</v>
      </c>
      <c r="M54" s="5"/>
      <c r="N54" s="5"/>
      <c r="O54" s="5"/>
      <c r="P54" s="5"/>
      <c r="Q54" s="5"/>
    </row>
    <row r="55" spans="1:17" x14ac:dyDescent="0.35">
      <c r="A55" s="2">
        <v>63</v>
      </c>
      <c r="B55" s="5">
        <v>0</v>
      </c>
      <c r="C55" s="5">
        <v>0.33195230173193485</v>
      </c>
      <c r="D55" s="5">
        <v>0.33068003634755688</v>
      </c>
      <c r="E55" s="5">
        <v>0.32748405706971112</v>
      </c>
      <c r="F55" s="5">
        <v>0.3304735410724472</v>
      </c>
      <c r="G55" s="5">
        <v>0.33021274867921208</v>
      </c>
      <c r="H55" s="5">
        <v>0.32707459496141744</v>
      </c>
      <c r="I55" s="5">
        <v>0.33994830543978061</v>
      </c>
      <c r="J55" s="5">
        <v>0.34382719507718845</v>
      </c>
      <c r="K55" s="5">
        <v>0.35558831315305495</v>
      </c>
      <c r="M55" s="5"/>
      <c r="N55" s="5"/>
      <c r="O55" s="5"/>
      <c r="P55" s="5"/>
      <c r="Q55" s="5"/>
    </row>
    <row r="56" spans="1:17" x14ac:dyDescent="0.35">
      <c r="A56" s="2">
        <v>64</v>
      </c>
      <c r="B56" s="5">
        <v>0</v>
      </c>
      <c r="C56" s="5">
        <v>0.36628347688285012</v>
      </c>
      <c r="D56" s="5">
        <v>0.36496238520436458</v>
      </c>
      <c r="E56" s="5">
        <v>0.36177751063962488</v>
      </c>
      <c r="F56" s="5">
        <v>0.36470629308671915</v>
      </c>
      <c r="G56" s="5">
        <v>0.36392979153828775</v>
      </c>
      <c r="H56" s="5">
        <v>0.36109114331339781</v>
      </c>
      <c r="I56" s="5">
        <v>0.3725367501763524</v>
      </c>
      <c r="J56" s="5">
        <v>0.37574581585736316</v>
      </c>
      <c r="K56" s="5">
        <v>0.38510150135437649</v>
      </c>
      <c r="M56" s="5"/>
      <c r="N56" s="5"/>
      <c r="O56" s="5"/>
      <c r="P56" s="5"/>
      <c r="Q56" s="5"/>
    </row>
    <row r="57" spans="1:17" x14ac:dyDescent="0.35">
      <c r="A57" s="2">
        <v>65</v>
      </c>
      <c r="B57" s="5">
        <v>0</v>
      </c>
      <c r="C57" s="5">
        <v>0.40384442811123417</v>
      </c>
      <c r="D57" s="5">
        <v>0.40240964251112321</v>
      </c>
      <c r="E57" s="5">
        <v>0.3991531755629581</v>
      </c>
      <c r="F57" s="5">
        <v>0.40206802264462349</v>
      </c>
      <c r="G57" s="5">
        <v>0.40074697947602761</v>
      </c>
      <c r="H57" s="5">
        <v>0.39812863398674886</v>
      </c>
      <c r="I57" s="5">
        <v>0.40817349455998997</v>
      </c>
      <c r="J57" s="5">
        <v>0.41102051379535059</v>
      </c>
      <c r="K57" s="5">
        <v>0.41823150476200927</v>
      </c>
      <c r="M57" s="5"/>
      <c r="N57" s="5"/>
      <c r="O57" s="5"/>
      <c r="P57" s="5"/>
      <c r="Q57" s="5"/>
    </row>
    <row r="58" spans="1:17" x14ac:dyDescent="0.35">
      <c r="A58" s="2">
        <v>66</v>
      </c>
      <c r="B58" s="5">
        <v>0</v>
      </c>
      <c r="C58" s="5">
        <v>0.44429203923635918</v>
      </c>
      <c r="D58" s="5">
        <v>0.4426499855464282</v>
      </c>
      <c r="E58" s="5">
        <v>0.43925845089801713</v>
      </c>
      <c r="F58" s="5">
        <v>0.44216454503244601</v>
      </c>
      <c r="G58" s="5">
        <v>0.44019067997797362</v>
      </c>
      <c r="H58" s="5">
        <v>0.43777745293767784</v>
      </c>
      <c r="I58" s="5">
        <v>0.44653160315933149</v>
      </c>
      <c r="J58" s="5">
        <v>0.44926893483019759</v>
      </c>
      <c r="K58" s="5">
        <v>0.45453854983317299</v>
      </c>
      <c r="M58" s="5"/>
      <c r="N58" s="5"/>
      <c r="O58" s="5"/>
      <c r="P58" s="5"/>
      <c r="Q58" s="5"/>
    </row>
    <row r="59" spans="1:17" x14ac:dyDescent="0.35">
      <c r="A59" s="2">
        <v>67</v>
      </c>
      <c r="B59" s="5">
        <v>0</v>
      </c>
      <c r="C59" s="5">
        <v>0.48742618357289746</v>
      </c>
      <c r="D59" s="5">
        <v>0.48522579106109609</v>
      </c>
      <c r="E59" s="5">
        <v>0.48177235044351641</v>
      </c>
      <c r="F59" s="5">
        <v>0.48463910855887343</v>
      </c>
      <c r="G59" s="5">
        <v>0.48167555421586972</v>
      </c>
      <c r="H59" s="5">
        <v>0.47956489755116033</v>
      </c>
      <c r="I59" s="5">
        <v>0.48715508864502394</v>
      </c>
      <c r="J59" s="5">
        <v>0.49018580723144228</v>
      </c>
      <c r="K59" s="5">
        <v>0.49352296237415805</v>
      </c>
      <c r="M59" s="5"/>
      <c r="N59" s="5"/>
      <c r="O59" s="5"/>
      <c r="P59" s="5"/>
      <c r="Q59" s="5"/>
    </row>
    <row r="60" spans="1:17" x14ac:dyDescent="0.35">
      <c r="A60" s="2">
        <v>68</v>
      </c>
      <c r="B60" s="5">
        <v>0</v>
      </c>
      <c r="C60" s="5">
        <v>0.5326071847167736</v>
      </c>
      <c r="D60" s="5">
        <v>0.52964136636924952</v>
      </c>
      <c r="E60" s="5">
        <v>0.52615872214362414</v>
      </c>
      <c r="F60" s="5">
        <v>0.52897902741187686</v>
      </c>
      <c r="G60" s="5">
        <v>0.52464068444507062</v>
      </c>
      <c r="H60" s="5">
        <v>0.52302958346155493</v>
      </c>
      <c r="I60" s="5">
        <v>0.52974696967503243</v>
      </c>
      <c r="J60" s="5">
        <v>0.53340380872713011</v>
      </c>
      <c r="K60" s="5">
        <v>0.53473890452713924</v>
      </c>
      <c r="M60" s="5"/>
      <c r="N60" s="5"/>
      <c r="O60" s="5"/>
      <c r="P60" s="5"/>
      <c r="Q60" s="5"/>
    </row>
    <row r="61" spans="1:17" x14ac:dyDescent="0.35">
      <c r="A61" s="2">
        <v>69</v>
      </c>
      <c r="B61" s="5">
        <v>0</v>
      </c>
      <c r="C61" s="5">
        <v>0.5790274125286855</v>
      </c>
      <c r="D61" s="5">
        <v>0.57516928788271737</v>
      </c>
      <c r="E61" s="5">
        <v>0.57170979456826121</v>
      </c>
      <c r="F61" s="5">
        <v>0.57446405142028401</v>
      </c>
      <c r="G61" s="5">
        <v>0.56816979236034493</v>
      </c>
      <c r="H61" s="5">
        <v>0.56746946710533219</v>
      </c>
      <c r="I61" s="5">
        <v>0.57357175857492193</v>
      </c>
      <c r="J61" s="5">
        <v>0.57799583773011332</v>
      </c>
      <c r="K61" s="5">
        <v>0.5773799291264663</v>
      </c>
      <c r="M61" s="5"/>
      <c r="N61" s="5"/>
      <c r="O61" s="5"/>
      <c r="P61" s="5"/>
      <c r="Q61" s="5"/>
    </row>
    <row r="62" spans="1:17" x14ac:dyDescent="0.35">
      <c r="A62" s="2">
        <v>70</v>
      </c>
      <c r="B62" s="5">
        <v>0</v>
      </c>
      <c r="C62" s="5">
        <v>0.62576904078420315</v>
      </c>
      <c r="D62" s="5">
        <v>0.62093646506722289</v>
      </c>
      <c r="E62" s="5">
        <v>0.61755959335995236</v>
      </c>
      <c r="F62" s="5">
        <v>0.62010744196492318</v>
      </c>
      <c r="G62" s="5">
        <v>0.61261842322626603</v>
      </c>
      <c r="H62" s="5">
        <v>0.61221980942607623</v>
      </c>
      <c r="I62" s="5">
        <v>0.61785082685217918</v>
      </c>
      <c r="J62" s="5">
        <v>0.6231622078542608</v>
      </c>
      <c r="K62" s="5">
        <v>0.62065466379096912</v>
      </c>
      <c r="M62" s="5"/>
      <c r="N62" s="5"/>
      <c r="O62" s="5"/>
      <c r="P62" s="5"/>
      <c r="Q62" s="5"/>
    </row>
    <row r="63" spans="1:17" x14ac:dyDescent="0.35">
      <c r="A63" s="2">
        <v>71</v>
      </c>
      <c r="B63" s="5">
        <v>0</v>
      </c>
      <c r="C63" s="5">
        <v>0.67189622209634248</v>
      </c>
      <c r="D63" s="5">
        <v>0.66606244902923784</v>
      </c>
      <c r="E63" s="5">
        <v>0.66281024249733123</v>
      </c>
      <c r="F63" s="5">
        <v>0.66504371672442353</v>
      </c>
      <c r="G63" s="5">
        <v>0.65724669274137792</v>
      </c>
      <c r="H63" s="5">
        <v>0.65644554371323738</v>
      </c>
      <c r="I63" s="5">
        <v>0.66166293792839137</v>
      </c>
      <c r="J63" s="5">
        <v>0.66789271902549274</v>
      </c>
      <c r="K63" s="5">
        <v>0.66364873640438649</v>
      </c>
      <c r="M63" s="5"/>
      <c r="N63" s="5"/>
      <c r="O63" s="5"/>
      <c r="P63" s="5"/>
      <c r="Q63" s="5"/>
    </row>
    <row r="64" spans="1:17" x14ac:dyDescent="0.35">
      <c r="A64" s="2">
        <v>72</v>
      </c>
      <c r="B64" s="5">
        <v>0</v>
      </c>
      <c r="C64" s="5">
        <v>0.7163223088876709</v>
      </c>
      <c r="D64" s="5">
        <v>0.70975980025050178</v>
      </c>
      <c r="E64" s="5">
        <v>0.70653863258665162</v>
      </c>
      <c r="F64" s="5">
        <v>0.70840789428526285</v>
      </c>
      <c r="G64" s="5">
        <v>0.7013713434789447</v>
      </c>
      <c r="H64" s="5">
        <v>0.6994588555051986</v>
      </c>
      <c r="I64" s="5">
        <v>0.70426835978298763</v>
      </c>
      <c r="J64" s="5">
        <v>0.71127208664571617</v>
      </c>
      <c r="K64" s="5">
        <v>0.70558958640690006</v>
      </c>
      <c r="M64" s="5"/>
      <c r="N64" s="5"/>
      <c r="O64" s="5"/>
      <c r="P64" s="5"/>
      <c r="Q64" s="5"/>
    </row>
    <row r="65" spans="1:17" x14ac:dyDescent="0.35">
      <c r="A65" s="2">
        <v>73</v>
      </c>
      <c r="B65" s="5">
        <v>0</v>
      </c>
      <c r="C65" s="5">
        <v>0.7581728601341724</v>
      </c>
      <c r="D65" s="5">
        <v>0.75100286651929538</v>
      </c>
      <c r="E65" s="5">
        <v>0.74775316531111613</v>
      </c>
      <c r="F65" s="5">
        <v>0.74927904461100714</v>
      </c>
      <c r="G65" s="5">
        <v>0.74414160430299869</v>
      </c>
      <c r="H65" s="5">
        <v>0.74031687118373668</v>
      </c>
      <c r="I65" s="5">
        <v>0.74463584966193364</v>
      </c>
      <c r="J65" s="5">
        <v>0.75219824719649464</v>
      </c>
      <c r="K65" s="5">
        <v>0.74543347384238468</v>
      </c>
      <c r="M65" s="5"/>
      <c r="N65" s="5"/>
      <c r="O65" s="5"/>
      <c r="P65" s="5"/>
      <c r="Q65" s="5"/>
    </row>
    <row r="66" spans="1:17" x14ac:dyDescent="0.35">
      <c r="A66" s="2">
        <v>74</v>
      </c>
      <c r="B66" s="5">
        <v>0</v>
      </c>
      <c r="C66" s="5">
        <v>0.79677602994522179</v>
      </c>
      <c r="D66" s="5">
        <v>0.78917993012364163</v>
      </c>
      <c r="E66" s="5">
        <v>0.78581353948549348</v>
      </c>
      <c r="F66" s="5">
        <v>0.7870619577150334</v>
      </c>
      <c r="G66" s="5">
        <v>0.78509521820728279</v>
      </c>
      <c r="H66" s="5">
        <v>0.77828487305350424</v>
      </c>
      <c r="I66" s="5">
        <v>0.78217499150243486</v>
      </c>
      <c r="J66" s="5">
        <v>0.79021021594143781</v>
      </c>
      <c r="K66" s="5">
        <v>0.78265410973437999</v>
      </c>
      <c r="M66" s="5"/>
      <c r="N66" s="5"/>
      <c r="O66" s="5"/>
      <c r="P66" s="5"/>
      <c r="Q66" s="5"/>
    </row>
    <row r="67" spans="1:17" x14ac:dyDescent="0.35">
      <c r="A67" s="2">
        <v>75</v>
      </c>
      <c r="B67" s="5">
        <v>0</v>
      </c>
      <c r="C67" s="5">
        <v>0.83160733024087652</v>
      </c>
      <c r="D67" s="5">
        <v>0.8237351130850219</v>
      </c>
      <c r="E67" s="5">
        <v>0.82031411793482589</v>
      </c>
      <c r="F67" s="5">
        <v>0.82132904276868901</v>
      </c>
      <c r="G67" s="5">
        <v>0.8211300144594651</v>
      </c>
      <c r="H67" s="5">
        <v>0.81283404602114651</v>
      </c>
      <c r="I67" s="5">
        <v>0.81630639112034176</v>
      </c>
      <c r="J67" s="5">
        <v>0.82468933860992766</v>
      </c>
      <c r="K67" s="5">
        <v>0.81667500027461404</v>
      </c>
      <c r="M67" s="5"/>
      <c r="N67" s="5"/>
      <c r="O67" s="5"/>
      <c r="P67" s="5"/>
      <c r="Q67" s="5"/>
    </row>
    <row r="68" spans="1:17" x14ac:dyDescent="0.35">
      <c r="A68" s="2">
        <v>76</v>
      </c>
      <c r="B68" s="5">
        <v>0</v>
      </c>
      <c r="C68" s="5">
        <v>0.86243864942690229</v>
      </c>
      <c r="D68" s="5">
        <v>0.85438432293339395</v>
      </c>
      <c r="E68" s="5">
        <v>0.85091441809851565</v>
      </c>
      <c r="F68" s="5">
        <v>0.85185393378863716</v>
      </c>
      <c r="G68" s="5">
        <v>0.85164334337602099</v>
      </c>
      <c r="H68" s="5">
        <v>0.84374924652207561</v>
      </c>
      <c r="I68" s="5">
        <v>0.84680960160926189</v>
      </c>
      <c r="J68" s="5">
        <v>0.85540143188982221</v>
      </c>
      <c r="K68" s="5">
        <v>0.84711438597125677</v>
      </c>
      <c r="M68" s="5"/>
      <c r="N68" s="5"/>
      <c r="O68" s="5"/>
      <c r="P68" s="5"/>
      <c r="Q68" s="5"/>
    </row>
    <row r="69" spans="1:17" x14ac:dyDescent="0.35">
      <c r="A69" s="2">
        <v>77</v>
      </c>
      <c r="B69" s="5">
        <v>0</v>
      </c>
      <c r="C69" s="5">
        <v>0.88920053692905643</v>
      </c>
      <c r="D69" s="5">
        <v>0.88100267900675833</v>
      </c>
      <c r="E69" s="5">
        <v>0.87759356866184146</v>
      </c>
      <c r="F69" s="5">
        <v>0.8785407584291467</v>
      </c>
      <c r="G69" s="5">
        <v>0.87809383616622227</v>
      </c>
      <c r="H69" s="5">
        <v>0.87076939512181506</v>
      </c>
      <c r="I69" s="5">
        <v>0.8734821869288345</v>
      </c>
      <c r="J69" s="5">
        <v>0.88221563426331462</v>
      </c>
      <c r="K69" s="5">
        <v>0.87387057691266712</v>
      </c>
      <c r="M69" s="5"/>
      <c r="N69" s="5"/>
      <c r="O69" s="5"/>
      <c r="P69" s="5"/>
      <c r="Q69" s="5"/>
    </row>
    <row r="70" spans="1:17" x14ac:dyDescent="0.35">
      <c r="A70" s="2">
        <v>78</v>
      </c>
      <c r="B70" s="5">
        <v>0</v>
      </c>
      <c r="C70" s="5">
        <v>0.91214137068574563</v>
      </c>
      <c r="D70" s="5">
        <v>0.90390375372151133</v>
      </c>
      <c r="E70" s="5">
        <v>0.90064348616248335</v>
      </c>
      <c r="F70" s="5">
        <v>0.90152786234357718</v>
      </c>
      <c r="G70" s="5">
        <v>0.90053948767263192</v>
      </c>
      <c r="H70" s="5">
        <v>0.89409317178087633</v>
      </c>
      <c r="I70" s="5">
        <v>0.89652272672913691</v>
      </c>
      <c r="J70" s="5">
        <v>0.90538580476359454</v>
      </c>
      <c r="K70" s="5">
        <v>0.89714109475595905</v>
      </c>
      <c r="M70" s="5"/>
      <c r="N70" s="5"/>
      <c r="O70" s="5"/>
      <c r="P70" s="5"/>
      <c r="Q70" s="5"/>
    </row>
    <row r="71" spans="1:17" x14ac:dyDescent="0.35">
      <c r="A71" s="2">
        <v>79</v>
      </c>
      <c r="B71" s="5">
        <v>0</v>
      </c>
      <c r="C71" s="5">
        <v>0.93154208994175791</v>
      </c>
      <c r="D71" s="5">
        <v>0.92329535955656805</v>
      </c>
      <c r="E71" s="5">
        <v>0.92027883634869911</v>
      </c>
      <c r="F71" s="5">
        <v>0.92103225084463158</v>
      </c>
      <c r="G71" s="5">
        <v>0.91899914512530201</v>
      </c>
      <c r="H71" s="5">
        <v>0.91410511322200116</v>
      </c>
      <c r="I71" s="5">
        <v>0.91615896256639451</v>
      </c>
      <c r="J71" s="5">
        <v>0.92499930462721092</v>
      </c>
      <c r="K71" s="5">
        <v>0.91707203775254797</v>
      </c>
      <c r="M71" s="5"/>
      <c r="N71" s="5"/>
      <c r="O71" s="5"/>
      <c r="P71" s="5"/>
      <c r="Q71" s="5"/>
    </row>
    <row r="72" spans="1:17" x14ac:dyDescent="0.35">
      <c r="A72" s="2">
        <v>80</v>
      </c>
      <c r="B72" s="5">
        <v>0</v>
      </c>
      <c r="C72" s="5">
        <v>0.94775220229887747</v>
      </c>
      <c r="D72" s="5">
        <v>0.93963849528401167</v>
      </c>
      <c r="E72" s="5">
        <v>0.93676504036415209</v>
      </c>
      <c r="F72" s="5">
        <v>0.93750804154873213</v>
      </c>
      <c r="G72" s="5">
        <v>0.93514410511425694</v>
      </c>
      <c r="H72" s="5">
        <v>0.93109748410569171</v>
      </c>
      <c r="I72" s="5">
        <v>0.93277720134681197</v>
      </c>
      <c r="J72" s="5">
        <v>0.94137675061067716</v>
      </c>
      <c r="K72" s="5">
        <v>0.93401074873982992</v>
      </c>
      <c r="M72" s="5"/>
      <c r="N72" s="5"/>
      <c r="O72" s="5"/>
      <c r="P72" s="5"/>
      <c r="Q72" s="5"/>
    </row>
    <row r="73" spans="1:17" x14ac:dyDescent="0.35">
      <c r="A73" s="2">
        <v>81</v>
      </c>
      <c r="B73" s="5">
        <v>0</v>
      </c>
      <c r="C73" s="5">
        <v>0.96106926391393732</v>
      </c>
      <c r="D73" s="5">
        <v>0.95329443965103944</v>
      </c>
      <c r="E73" s="5">
        <v>0.9504395153176618</v>
      </c>
      <c r="F73" s="5">
        <v>0.95116657617700673</v>
      </c>
      <c r="G73" s="5">
        <v>0.95104043737251409</v>
      </c>
      <c r="H73" s="5">
        <v>0.94533470076238602</v>
      </c>
      <c r="I73" s="5">
        <v>0.94663566502383112</v>
      </c>
      <c r="J73" s="5">
        <v>0.95483343017019939</v>
      </c>
      <c r="K73" s="5">
        <v>0.94841686879459963</v>
      </c>
      <c r="L73" s="5"/>
      <c r="M73" s="3"/>
      <c r="N73" s="3"/>
      <c r="O73" s="5"/>
      <c r="P73" s="3"/>
      <c r="Q73" s="3"/>
    </row>
    <row r="74" spans="1:17" x14ac:dyDescent="0.35">
      <c r="A74" s="2">
        <v>82</v>
      </c>
      <c r="B74" s="5">
        <v>0</v>
      </c>
      <c r="C74" s="5">
        <v>0.97193839144412486</v>
      </c>
      <c r="D74" s="5">
        <v>0.96457821426624313</v>
      </c>
      <c r="E74" s="5">
        <v>0.96166479173029396</v>
      </c>
      <c r="F74" s="5">
        <v>0.96242325929491257</v>
      </c>
      <c r="G74" s="5">
        <v>0.96345238669439348</v>
      </c>
      <c r="H74" s="5">
        <v>0.9572458298414257</v>
      </c>
      <c r="I74" s="5">
        <v>0.95817322323621601</v>
      </c>
      <c r="J74" s="5">
        <v>0.96573595068242923</v>
      </c>
      <c r="K74" s="5">
        <v>0.9604914090161375</v>
      </c>
    </row>
    <row r="75" spans="1:17" x14ac:dyDescent="0.35">
      <c r="A75" s="2">
        <v>83</v>
      </c>
      <c r="B75" s="5">
        <v>0</v>
      </c>
      <c r="C75" s="5">
        <v>0.98052898459343818</v>
      </c>
      <c r="D75" s="5">
        <v>0.97366660088743828</v>
      </c>
      <c r="E75" s="5">
        <v>0.97071706638653421</v>
      </c>
      <c r="F75" s="5">
        <v>0.97162845784260321</v>
      </c>
      <c r="G75" s="5">
        <v>0.97231687487269158</v>
      </c>
      <c r="H75" s="5">
        <v>0.96696960091101858</v>
      </c>
      <c r="I75" s="5">
        <v>0.96763761885258992</v>
      </c>
      <c r="J75" s="5">
        <v>0.97432667952238861</v>
      </c>
      <c r="K75" s="5">
        <v>0.97044869229009978</v>
      </c>
    </row>
    <row r="76" spans="1:17" x14ac:dyDescent="0.35">
      <c r="A76" s="2">
        <v>84</v>
      </c>
      <c r="B76" s="5">
        <v>0</v>
      </c>
      <c r="C76" s="5">
        <v>0.98714052276626241</v>
      </c>
      <c r="D76" s="5">
        <v>0.98092379733719137</v>
      </c>
      <c r="E76" s="5">
        <v>0.97793577118548003</v>
      </c>
      <c r="F76" s="5">
        <v>0.97904806924745236</v>
      </c>
      <c r="G76" s="5">
        <v>0.97978185067391854</v>
      </c>
      <c r="H76" s="5">
        <v>0.97480151290925088</v>
      </c>
      <c r="I76" s="5">
        <v>0.97532454236424249</v>
      </c>
      <c r="J76" s="5">
        <v>0.98107027990950346</v>
      </c>
      <c r="K76" s="5">
        <v>0.97849596928236882</v>
      </c>
    </row>
    <row r="77" spans="1:17" x14ac:dyDescent="0.35">
      <c r="A77" s="2">
        <v>85</v>
      </c>
      <c r="B77" s="5">
        <v>0</v>
      </c>
      <c r="C77" s="5">
        <v>0.99211127445677993</v>
      </c>
      <c r="D77" s="5">
        <v>0.98651293095006531</v>
      </c>
      <c r="E77" s="5">
        <v>0.98365184759893942</v>
      </c>
      <c r="F77" s="5">
        <v>0.98482840899323087</v>
      </c>
      <c r="G77" s="5">
        <v>0.98561376084261521</v>
      </c>
      <c r="H77" s="5">
        <v>0.98097608765002653</v>
      </c>
      <c r="I77" s="5">
        <v>0.98144397387606874</v>
      </c>
      <c r="J77" s="5">
        <v>0.98625643275350994</v>
      </c>
      <c r="K77" s="5">
        <v>0.98487500405855077</v>
      </c>
    </row>
    <row r="78" spans="1:17" x14ac:dyDescent="0.35">
      <c r="A78" s="2">
        <v>86</v>
      </c>
      <c r="B78" s="5">
        <v>0</v>
      </c>
      <c r="C78" s="5">
        <v>0.9956644096909143</v>
      </c>
      <c r="D78" s="5">
        <v>0.99075170080516839</v>
      </c>
      <c r="E78" s="5">
        <v>0.98826432689273869</v>
      </c>
      <c r="F78" s="5">
        <v>0.98937984017494895</v>
      </c>
      <c r="G78" s="5">
        <v>0.98812319231513901</v>
      </c>
      <c r="H78" s="5">
        <v>0.98589555615449043</v>
      </c>
      <c r="I78" s="5">
        <v>0.98639958090412905</v>
      </c>
      <c r="J78" s="5">
        <v>0.99028503847830096</v>
      </c>
      <c r="K78" s="5">
        <v>0.98972104024453333</v>
      </c>
    </row>
    <row r="79" spans="1:17" x14ac:dyDescent="0.35">
      <c r="A79" s="2">
        <v>87</v>
      </c>
      <c r="B79" s="5">
        <v>0</v>
      </c>
      <c r="C79" s="5">
        <v>0.99803566111509856</v>
      </c>
      <c r="D79" s="5">
        <v>0.99395027625468213</v>
      </c>
      <c r="E79" s="5">
        <v>0.99200490884828219</v>
      </c>
      <c r="F79" s="5">
        <v>0.99293226964321935</v>
      </c>
      <c r="G79" s="5">
        <v>0.99075382825889713</v>
      </c>
      <c r="H79" s="5">
        <v>0.98981051266152775</v>
      </c>
      <c r="I79" s="5">
        <v>0.99039850676832586</v>
      </c>
      <c r="J79" s="5">
        <v>0.99343872333706995</v>
      </c>
      <c r="K79" s="5">
        <v>0.99340245104818359</v>
      </c>
    </row>
    <row r="80" spans="1:17" x14ac:dyDescent="0.35">
      <c r="A80" s="2">
        <v>88</v>
      </c>
      <c r="B80" s="5">
        <v>0</v>
      </c>
      <c r="C80" s="5">
        <v>0.99934518390400717</v>
      </c>
      <c r="D80" s="5">
        <v>0.99639246076405608</v>
      </c>
      <c r="E80" s="5">
        <v>0.99503321086924923</v>
      </c>
      <c r="F80" s="5">
        <v>0.99568598069955194</v>
      </c>
      <c r="G80" s="5">
        <v>0.99413509731120486</v>
      </c>
      <c r="H80" s="5">
        <v>0.99334335881101832</v>
      </c>
      <c r="I80" s="5">
        <v>0.99384423993765547</v>
      </c>
      <c r="J80" s="5">
        <v>0.99597388024890421</v>
      </c>
      <c r="K80" s="5">
        <v>0.99612565066220493</v>
      </c>
    </row>
    <row r="81" spans="1:11" x14ac:dyDescent="0.35">
      <c r="A81" s="2">
        <v>89</v>
      </c>
      <c r="B81" s="5">
        <v>0</v>
      </c>
      <c r="C81" s="5">
        <v>1.0003242130557928</v>
      </c>
      <c r="D81" s="5">
        <v>0.99852560708568006</v>
      </c>
      <c r="E81" s="5">
        <v>0.997882818883849</v>
      </c>
      <c r="F81" s="5">
        <v>0.99815904847980663</v>
      </c>
      <c r="G81" s="5">
        <v>0.996103400210265</v>
      </c>
      <c r="H81" s="5">
        <v>0.99658841209353155</v>
      </c>
      <c r="I81" s="5">
        <v>0.99702060405045434</v>
      </c>
      <c r="J81" s="5">
        <v>0.99826835789508417</v>
      </c>
      <c r="K81" s="5">
        <v>0.99849030957255103</v>
      </c>
    </row>
    <row r="82" spans="1:11" x14ac:dyDescent="0.35">
      <c r="A82" s="2">
        <v>90</v>
      </c>
      <c r="B82" s="5">
        <v>0</v>
      </c>
      <c r="C82" s="5">
        <v>1</v>
      </c>
      <c r="D82" s="5">
        <v>1</v>
      </c>
      <c r="E82" s="5">
        <v>1</v>
      </c>
      <c r="F82" s="5">
        <v>1</v>
      </c>
      <c r="G82" s="5">
        <v>1</v>
      </c>
      <c r="H82" s="5">
        <v>1</v>
      </c>
      <c r="I82" s="5">
        <v>1</v>
      </c>
      <c r="J82" s="5">
        <v>1</v>
      </c>
      <c r="K82" s="5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654C5-7E38-4A11-A0E9-78FDB7908F55}">
  <dimension ref="A1:AA71"/>
  <sheetViews>
    <sheetView workbookViewId="0">
      <selection activeCell="N29" sqref="N29"/>
    </sheetView>
  </sheetViews>
  <sheetFormatPr defaultRowHeight="14.5" x14ac:dyDescent="0.35"/>
  <sheetData>
    <row r="1" spans="1:27" x14ac:dyDescent="0.35">
      <c r="A1" s="3">
        <v>1</v>
      </c>
      <c r="B1" s="3">
        <v>1</v>
      </c>
      <c r="C1" s="3">
        <v>1</v>
      </c>
      <c r="D1" s="3">
        <v>1</v>
      </c>
      <c r="E1" s="3">
        <v>1</v>
      </c>
      <c r="F1" s="3">
        <v>1</v>
      </c>
      <c r="G1" s="3">
        <v>1</v>
      </c>
      <c r="H1" s="3">
        <v>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35">
      <c r="A2" s="3">
        <v>1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x14ac:dyDescent="0.35">
      <c r="A3" s="3">
        <v>1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35">
      <c r="A4" s="3">
        <v>1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x14ac:dyDescent="0.35">
      <c r="A5" s="3">
        <v>1</v>
      </c>
      <c r="B5" s="3">
        <v>1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x14ac:dyDescent="0.35">
      <c r="A6" s="3">
        <v>1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35">
      <c r="A7" s="3">
        <v>1</v>
      </c>
      <c r="B7" s="3">
        <v>1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x14ac:dyDescent="0.35">
      <c r="A8" s="3">
        <v>1</v>
      </c>
      <c r="B8" s="3">
        <v>1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x14ac:dyDescent="0.35">
      <c r="A9" s="3">
        <v>1</v>
      </c>
      <c r="B9" s="3">
        <v>1</v>
      </c>
      <c r="C9" s="3">
        <v>1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35">
      <c r="A10" s="3">
        <v>1</v>
      </c>
      <c r="B10" s="3">
        <v>1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x14ac:dyDescent="0.35">
      <c r="A11" s="3">
        <v>1</v>
      </c>
      <c r="B11" s="3">
        <v>1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35">
      <c r="A12" s="3">
        <v>1</v>
      </c>
      <c r="B12" s="3">
        <v>1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x14ac:dyDescent="0.35">
      <c r="A13" s="3">
        <v>1</v>
      </c>
      <c r="B13" s="3">
        <v>1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35">
      <c r="A14" s="3">
        <v>1</v>
      </c>
      <c r="B14" s="3">
        <v>1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35">
      <c r="A15" s="3">
        <v>1</v>
      </c>
      <c r="B15" s="3">
        <v>1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x14ac:dyDescent="0.35">
      <c r="A16" s="3">
        <v>1</v>
      </c>
      <c r="B16" s="3">
        <v>1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x14ac:dyDescent="0.35">
      <c r="A17" s="3">
        <v>1</v>
      </c>
      <c r="B17" s="3">
        <v>1</v>
      </c>
      <c r="C17" s="3">
        <v>1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x14ac:dyDescent="0.35">
      <c r="A18" s="3">
        <v>1</v>
      </c>
      <c r="B18" s="3">
        <v>1</v>
      </c>
      <c r="C18" s="3">
        <v>1</v>
      </c>
      <c r="D18" s="3">
        <v>1</v>
      </c>
      <c r="E18" s="3">
        <v>1</v>
      </c>
      <c r="F18" s="3">
        <v>1</v>
      </c>
      <c r="G18" s="3">
        <v>1</v>
      </c>
      <c r="H18" s="3">
        <v>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x14ac:dyDescent="0.35">
      <c r="A19" s="3">
        <v>1</v>
      </c>
      <c r="B19" s="3">
        <v>1</v>
      </c>
      <c r="C19" s="3">
        <v>1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x14ac:dyDescent="0.35">
      <c r="A20" s="3">
        <v>1</v>
      </c>
      <c r="B20" s="3">
        <v>1</v>
      </c>
      <c r="C20" s="3">
        <v>1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x14ac:dyDescent="0.35">
      <c r="A21" s="3">
        <v>1</v>
      </c>
      <c r="B21" s="3">
        <v>1</v>
      </c>
      <c r="C21" s="3">
        <v>1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x14ac:dyDescent="0.35">
      <c r="A22" s="3">
        <v>1</v>
      </c>
      <c r="B22" s="3">
        <v>1</v>
      </c>
      <c r="C22" s="3">
        <v>1</v>
      </c>
      <c r="D22" s="3">
        <v>1</v>
      </c>
      <c r="E22" s="3">
        <v>1</v>
      </c>
      <c r="F22" s="3">
        <v>1</v>
      </c>
      <c r="G22" s="3">
        <v>1</v>
      </c>
      <c r="H22" s="3">
        <v>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x14ac:dyDescent="0.35">
      <c r="A23" s="3">
        <v>1</v>
      </c>
      <c r="B23" s="3">
        <v>1</v>
      </c>
      <c r="C23" s="3">
        <v>1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x14ac:dyDescent="0.35">
      <c r="A24" s="3">
        <v>1</v>
      </c>
      <c r="B24" s="3">
        <v>1</v>
      </c>
      <c r="C24" s="3">
        <v>1</v>
      </c>
      <c r="D24" s="3">
        <v>1</v>
      </c>
      <c r="E24" s="3">
        <v>1</v>
      </c>
      <c r="F24" s="3">
        <v>1</v>
      </c>
      <c r="G24" s="3">
        <v>1</v>
      </c>
      <c r="H24" s="3">
        <v>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x14ac:dyDescent="0.35">
      <c r="A25" s="3">
        <v>1</v>
      </c>
      <c r="B25" s="3">
        <v>1</v>
      </c>
      <c r="C25" s="3">
        <v>1</v>
      </c>
      <c r="D25" s="3">
        <v>1</v>
      </c>
      <c r="E25" s="3">
        <v>1</v>
      </c>
      <c r="F25" s="3">
        <v>1</v>
      </c>
      <c r="G25" s="3">
        <v>1</v>
      </c>
      <c r="H25" s="3">
        <v>1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x14ac:dyDescent="0.35">
      <c r="A26" s="3">
        <v>1</v>
      </c>
      <c r="B26" s="3">
        <v>1</v>
      </c>
      <c r="C26" s="3">
        <v>1</v>
      </c>
      <c r="D26" s="3">
        <v>1</v>
      </c>
      <c r="E26" s="3">
        <v>1</v>
      </c>
      <c r="F26" s="3">
        <v>1</v>
      </c>
      <c r="G26" s="3">
        <v>1</v>
      </c>
      <c r="H26" s="3">
        <v>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x14ac:dyDescent="0.35">
      <c r="A27" s="3">
        <v>1</v>
      </c>
      <c r="B27" s="3">
        <v>1</v>
      </c>
      <c r="C27" s="3">
        <v>1</v>
      </c>
      <c r="D27" s="3">
        <v>1</v>
      </c>
      <c r="E27" s="3">
        <v>1</v>
      </c>
      <c r="F27" s="3">
        <v>1</v>
      </c>
      <c r="G27" s="3">
        <v>1</v>
      </c>
      <c r="H27" s="3">
        <v>1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x14ac:dyDescent="0.35">
      <c r="A28" s="3">
        <v>1</v>
      </c>
      <c r="B28" s="3">
        <v>1</v>
      </c>
      <c r="C28" s="3">
        <v>1</v>
      </c>
      <c r="D28" s="3">
        <v>1</v>
      </c>
      <c r="E28" s="3">
        <v>1</v>
      </c>
      <c r="F28" s="3">
        <v>1</v>
      </c>
      <c r="G28" s="3">
        <v>1</v>
      </c>
      <c r="H28" s="3">
        <v>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x14ac:dyDescent="0.35">
      <c r="A29" s="3">
        <v>1</v>
      </c>
      <c r="B29" s="3">
        <v>1</v>
      </c>
      <c r="C29" s="3">
        <v>1</v>
      </c>
      <c r="D29" s="3">
        <v>1</v>
      </c>
      <c r="E29" s="3">
        <v>1</v>
      </c>
      <c r="F29" s="3">
        <v>1</v>
      </c>
      <c r="G29" s="3">
        <v>1</v>
      </c>
      <c r="H29" s="3">
        <v>1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x14ac:dyDescent="0.35">
      <c r="A30" s="3">
        <v>1</v>
      </c>
      <c r="B30" s="3">
        <v>1</v>
      </c>
      <c r="C30" s="3">
        <v>1</v>
      </c>
      <c r="D30" s="3">
        <v>1</v>
      </c>
      <c r="E30" s="3">
        <v>1</v>
      </c>
      <c r="F30" s="3">
        <v>1</v>
      </c>
      <c r="G30" s="3">
        <v>1</v>
      </c>
      <c r="H30" s="3">
        <v>1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x14ac:dyDescent="0.35">
      <c r="A31" s="3">
        <v>1</v>
      </c>
      <c r="B31" s="3">
        <v>1</v>
      </c>
      <c r="C31" s="3">
        <v>1</v>
      </c>
      <c r="D31" s="3">
        <v>1</v>
      </c>
      <c r="E31" s="3">
        <v>1</v>
      </c>
      <c r="F31" s="3">
        <v>1</v>
      </c>
      <c r="G31" s="3">
        <v>1</v>
      </c>
      <c r="H31" s="3">
        <v>1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x14ac:dyDescent="0.35">
      <c r="A32" s="3">
        <v>1</v>
      </c>
      <c r="B32" s="3">
        <v>1</v>
      </c>
      <c r="C32" s="3">
        <v>1</v>
      </c>
      <c r="D32" s="3">
        <v>1</v>
      </c>
      <c r="E32" s="3">
        <v>1</v>
      </c>
      <c r="F32" s="3">
        <v>1</v>
      </c>
      <c r="G32" s="3">
        <v>1</v>
      </c>
      <c r="H32" s="3">
        <v>1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x14ac:dyDescent="0.35">
      <c r="A33" s="3">
        <v>1</v>
      </c>
      <c r="B33" s="3">
        <v>1</v>
      </c>
      <c r="C33" s="3">
        <v>1</v>
      </c>
      <c r="D33" s="3">
        <v>1</v>
      </c>
      <c r="E33" s="3">
        <v>1</v>
      </c>
      <c r="F33" s="3">
        <v>1</v>
      </c>
      <c r="G33" s="3">
        <v>1</v>
      </c>
      <c r="H33" s="3">
        <v>1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x14ac:dyDescent="0.35">
      <c r="A34" s="3">
        <v>1</v>
      </c>
      <c r="B34" s="3">
        <v>1</v>
      </c>
      <c r="C34" s="3">
        <v>1</v>
      </c>
      <c r="D34" s="3">
        <v>1</v>
      </c>
      <c r="E34" s="3">
        <v>1</v>
      </c>
      <c r="F34" s="3">
        <v>1</v>
      </c>
      <c r="G34" s="3">
        <v>1</v>
      </c>
      <c r="H34" s="3">
        <v>1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x14ac:dyDescent="0.35">
      <c r="A35" s="3">
        <v>1</v>
      </c>
      <c r="B35" s="3">
        <v>1</v>
      </c>
      <c r="C35" s="3">
        <v>1</v>
      </c>
      <c r="D35" s="3">
        <v>1</v>
      </c>
      <c r="E35" s="3">
        <v>1</v>
      </c>
      <c r="F35" s="3">
        <v>1</v>
      </c>
      <c r="G35" s="3">
        <v>1</v>
      </c>
      <c r="H35" s="3">
        <v>1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x14ac:dyDescent="0.35">
      <c r="A36" s="3">
        <v>1</v>
      </c>
      <c r="B36" s="3">
        <v>1</v>
      </c>
      <c r="C36" s="3">
        <v>1</v>
      </c>
      <c r="D36" s="3">
        <v>1</v>
      </c>
      <c r="E36" s="3">
        <v>1</v>
      </c>
      <c r="F36" s="3">
        <v>1</v>
      </c>
      <c r="G36" s="3">
        <v>1</v>
      </c>
      <c r="H36" s="3">
        <v>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x14ac:dyDescent="0.35">
      <c r="A37" s="3">
        <v>1</v>
      </c>
      <c r="B37" s="3">
        <v>1</v>
      </c>
      <c r="C37" s="3">
        <v>1</v>
      </c>
      <c r="D37" s="3">
        <v>1</v>
      </c>
      <c r="E37" s="3">
        <v>1</v>
      </c>
      <c r="F37" s="3">
        <v>1</v>
      </c>
      <c r="G37" s="3">
        <v>1</v>
      </c>
      <c r="H37" s="3">
        <v>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x14ac:dyDescent="0.35">
      <c r="A38" s="3">
        <v>1</v>
      </c>
      <c r="B38" s="3">
        <v>1</v>
      </c>
      <c r="C38" s="3">
        <v>1</v>
      </c>
      <c r="D38" s="3">
        <v>1</v>
      </c>
      <c r="E38" s="3">
        <v>1</v>
      </c>
      <c r="F38" s="3">
        <v>1</v>
      </c>
      <c r="G38" s="3">
        <v>1</v>
      </c>
      <c r="H38" s="3">
        <v>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x14ac:dyDescent="0.35">
      <c r="A39" s="3">
        <v>1</v>
      </c>
      <c r="B39" s="3">
        <v>1</v>
      </c>
      <c r="C39" s="3">
        <v>1</v>
      </c>
      <c r="D39" s="3">
        <v>1</v>
      </c>
      <c r="E39" s="3">
        <v>1</v>
      </c>
      <c r="F39" s="3">
        <v>1</v>
      </c>
      <c r="G39" s="3">
        <v>1</v>
      </c>
      <c r="H39" s="3">
        <v>1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x14ac:dyDescent="0.35">
      <c r="A40" s="3">
        <v>1</v>
      </c>
      <c r="B40" s="3">
        <v>1</v>
      </c>
      <c r="C40" s="3">
        <v>1</v>
      </c>
      <c r="D40" s="3">
        <v>1</v>
      </c>
      <c r="E40" s="3">
        <v>1</v>
      </c>
      <c r="F40" s="3">
        <v>1</v>
      </c>
      <c r="G40" s="3">
        <v>1</v>
      </c>
      <c r="H40" s="3">
        <v>1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x14ac:dyDescent="0.35">
      <c r="A41" s="3">
        <v>1</v>
      </c>
      <c r="B41" s="3">
        <v>1</v>
      </c>
      <c r="C41" s="3">
        <v>1</v>
      </c>
      <c r="D41" s="3">
        <v>1</v>
      </c>
      <c r="E41" s="3">
        <v>1</v>
      </c>
      <c r="F41" s="3">
        <v>1</v>
      </c>
      <c r="G41" s="3">
        <v>1</v>
      </c>
      <c r="H41" s="3">
        <v>1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x14ac:dyDescent="0.35">
      <c r="A42" s="3">
        <v>1</v>
      </c>
      <c r="B42" s="3">
        <v>1</v>
      </c>
      <c r="C42" s="3">
        <v>1</v>
      </c>
      <c r="D42" s="3">
        <v>1</v>
      </c>
      <c r="E42" s="3">
        <v>1</v>
      </c>
      <c r="F42" s="3">
        <v>1</v>
      </c>
      <c r="G42" s="3">
        <v>1</v>
      </c>
      <c r="H42" s="3">
        <v>1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x14ac:dyDescent="0.35">
      <c r="A43" s="3">
        <v>1</v>
      </c>
      <c r="B43" s="3">
        <v>1</v>
      </c>
      <c r="C43" s="3">
        <v>1</v>
      </c>
      <c r="D43" s="3">
        <v>1</v>
      </c>
      <c r="E43" s="3">
        <v>1</v>
      </c>
      <c r="F43" s="3">
        <v>1</v>
      </c>
      <c r="G43" s="3">
        <v>1</v>
      </c>
      <c r="H43" s="3">
        <v>1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x14ac:dyDescent="0.35">
      <c r="A44" s="3">
        <v>1</v>
      </c>
      <c r="B44" s="3">
        <v>1</v>
      </c>
      <c r="C44" s="3">
        <v>1</v>
      </c>
      <c r="D44" s="3">
        <v>1</v>
      </c>
      <c r="E44" s="3">
        <v>1</v>
      </c>
      <c r="F44" s="3">
        <v>1</v>
      </c>
      <c r="G44" s="3">
        <v>1</v>
      </c>
      <c r="H44" s="3">
        <v>1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x14ac:dyDescent="0.35">
      <c r="A45" s="3">
        <v>1</v>
      </c>
      <c r="B45" s="3">
        <v>1</v>
      </c>
      <c r="C45" s="3">
        <v>1</v>
      </c>
      <c r="D45" s="3">
        <v>1</v>
      </c>
      <c r="E45" s="3">
        <v>1</v>
      </c>
      <c r="F45" s="3">
        <v>1</v>
      </c>
      <c r="G45" s="3">
        <v>1</v>
      </c>
      <c r="H45" s="3">
        <v>1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x14ac:dyDescent="0.35">
      <c r="A46" s="3">
        <v>1</v>
      </c>
      <c r="B46" s="3">
        <v>1</v>
      </c>
      <c r="C46" s="3">
        <v>1</v>
      </c>
      <c r="D46" s="3">
        <v>1</v>
      </c>
      <c r="E46" s="3">
        <v>1</v>
      </c>
      <c r="F46" s="3">
        <v>1</v>
      </c>
      <c r="G46" s="3">
        <v>1</v>
      </c>
      <c r="H46" s="3">
        <v>1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x14ac:dyDescent="0.35">
      <c r="A47" s="3">
        <v>1</v>
      </c>
      <c r="B47" s="3">
        <v>1</v>
      </c>
      <c r="C47" s="3">
        <v>1</v>
      </c>
      <c r="D47" s="3">
        <v>1</v>
      </c>
      <c r="E47" s="3">
        <v>1</v>
      </c>
      <c r="F47" s="3">
        <v>1</v>
      </c>
      <c r="G47" s="3">
        <v>1</v>
      </c>
      <c r="H47" s="3">
        <v>1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x14ac:dyDescent="0.35">
      <c r="A48" s="3">
        <v>1</v>
      </c>
      <c r="B48" s="3">
        <v>1</v>
      </c>
      <c r="C48" s="3">
        <v>1</v>
      </c>
      <c r="D48" s="3">
        <v>1</v>
      </c>
      <c r="E48" s="3">
        <v>1</v>
      </c>
      <c r="F48" s="3">
        <v>1</v>
      </c>
      <c r="G48" s="3">
        <v>1</v>
      </c>
      <c r="H48" s="3">
        <v>1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x14ac:dyDescent="0.35">
      <c r="A49" s="3">
        <v>1</v>
      </c>
      <c r="B49" s="3">
        <v>1</v>
      </c>
      <c r="C49" s="3">
        <v>1</v>
      </c>
      <c r="D49" s="3">
        <v>1</v>
      </c>
      <c r="E49" s="3">
        <v>1</v>
      </c>
      <c r="F49" s="3">
        <v>1</v>
      </c>
      <c r="G49" s="3">
        <v>1</v>
      </c>
      <c r="H49" s="3">
        <v>1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x14ac:dyDescent="0.35">
      <c r="A50" s="3">
        <v>1</v>
      </c>
      <c r="B50" s="3">
        <v>1</v>
      </c>
      <c r="C50" s="3">
        <v>1</v>
      </c>
      <c r="D50" s="3">
        <v>1</v>
      </c>
      <c r="E50" s="3">
        <v>1</v>
      </c>
      <c r="F50" s="3">
        <v>1</v>
      </c>
      <c r="G50" s="3">
        <v>1</v>
      </c>
      <c r="H50" s="3">
        <v>1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x14ac:dyDescent="0.35">
      <c r="A51" s="3">
        <v>1</v>
      </c>
      <c r="B51" s="3">
        <v>1</v>
      </c>
      <c r="C51" s="3">
        <v>1</v>
      </c>
      <c r="D51" s="3">
        <v>1</v>
      </c>
      <c r="E51" s="3">
        <v>1</v>
      </c>
      <c r="F51" s="3">
        <v>1</v>
      </c>
      <c r="G51" s="3">
        <v>1</v>
      </c>
      <c r="H51" s="3">
        <v>1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x14ac:dyDescent="0.35">
      <c r="A52" s="3">
        <v>1</v>
      </c>
      <c r="B52" s="3">
        <v>1</v>
      </c>
      <c r="C52" s="3">
        <v>1</v>
      </c>
      <c r="D52" s="3">
        <v>1</v>
      </c>
      <c r="E52" s="3">
        <v>1</v>
      </c>
      <c r="F52" s="3">
        <v>1</v>
      </c>
      <c r="G52" s="3">
        <v>1</v>
      </c>
      <c r="H52" s="3">
        <v>1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x14ac:dyDescent="0.35">
      <c r="A53" s="3">
        <v>1</v>
      </c>
      <c r="B53" s="3">
        <v>1</v>
      </c>
      <c r="C53" s="3">
        <v>1</v>
      </c>
      <c r="D53" s="3">
        <v>1</v>
      </c>
      <c r="E53" s="3">
        <v>1</v>
      </c>
      <c r="F53" s="3">
        <v>1</v>
      </c>
      <c r="G53" s="3">
        <v>1</v>
      </c>
      <c r="H53" s="3">
        <v>1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x14ac:dyDescent="0.35">
      <c r="A54" s="3">
        <v>1</v>
      </c>
      <c r="B54" s="3">
        <v>1</v>
      </c>
      <c r="C54" s="3">
        <v>1</v>
      </c>
      <c r="D54" s="3">
        <v>1</v>
      </c>
      <c r="E54" s="3">
        <v>1</v>
      </c>
      <c r="F54" s="3">
        <v>1</v>
      </c>
      <c r="G54" s="3">
        <v>1</v>
      </c>
      <c r="H54" s="3">
        <v>1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x14ac:dyDescent="0.35">
      <c r="A55" s="3">
        <v>1</v>
      </c>
      <c r="B55" s="3">
        <v>1</v>
      </c>
      <c r="C55" s="3">
        <v>1</v>
      </c>
      <c r="D55" s="3">
        <v>1</v>
      </c>
      <c r="E55" s="3">
        <v>1</v>
      </c>
      <c r="F55" s="3">
        <v>1</v>
      </c>
      <c r="G55" s="3">
        <v>1</v>
      </c>
      <c r="H55" s="3">
        <v>1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x14ac:dyDescent="0.35">
      <c r="A56" s="3">
        <v>1</v>
      </c>
      <c r="B56" s="3">
        <v>1</v>
      </c>
      <c r="C56" s="3">
        <v>1</v>
      </c>
      <c r="D56" s="3">
        <v>1</v>
      </c>
      <c r="E56" s="3">
        <v>1</v>
      </c>
      <c r="F56" s="3">
        <v>1</v>
      </c>
      <c r="G56" s="3">
        <v>1</v>
      </c>
      <c r="H56" s="3">
        <v>1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x14ac:dyDescent="0.35">
      <c r="A57" s="3">
        <v>1</v>
      </c>
      <c r="B57" s="3">
        <v>1</v>
      </c>
      <c r="C57" s="3">
        <v>1</v>
      </c>
      <c r="D57" s="3">
        <v>1</v>
      </c>
      <c r="E57" s="3">
        <v>1</v>
      </c>
      <c r="F57" s="3">
        <v>1</v>
      </c>
      <c r="G57" s="3">
        <v>1</v>
      </c>
      <c r="H57" s="3">
        <v>1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x14ac:dyDescent="0.35">
      <c r="A58" s="3">
        <v>1</v>
      </c>
      <c r="B58" s="3">
        <v>1</v>
      </c>
      <c r="C58" s="3">
        <v>1</v>
      </c>
      <c r="D58" s="3">
        <v>1</v>
      </c>
      <c r="E58" s="3">
        <v>1</v>
      </c>
      <c r="F58" s="3">
        <v>1</v>
      </c>
      <c r="G58" s="3">
        <v>1</v>
      </c>
      <c r="H58" s="3">
        <v>1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x14ac:dyDescent="0.35">
      <c r="A59" s="3">
        <v>1</v>
      </c>
      <c r="B59" s="3">
        <v>1</v>
      </c>
      <c r="C59" s="3">
        <v>1</v>
      </c>
      <c r="D59" s="3">
        <v>1</v>
      </c>
      <c r="E59" s="3">
        <v>1</v>
      </c>
      <c r="F59" s="3">
        <v>1</v>
      </c>
      <c r="G59" s="3">
        <v>1</v>
      </c>
      <c r="H59" s="3">
        <v>1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x14ac:dyDescent="0.35">
      <c r="A60" s="3">
        <v>1</v>
      </c>
      <c r="B60" s="3">
        <v>1</v>
      </c>
      <c r="C60" s="3">
        <v>1</v>
      </c>
      <c r="D60" s="3">
        <v>1</v>
      </c>
      <c r="E60" s="3">
        <v>1</v>
      </c>
      <c r="F60" s="3">
        <v>1</v>
      </c>
      <c r="G60" s="3">
        <v>1</v>
      </c>
      <c r="H60" s="3">
        <v>1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x14ac:dyDescent="0.35">
      <c r="A61" s="3">
        <v>1</v>
      </c>
      <c r="B61" s="3">
        <v>1</v>
      </c>
      <c r="C61" s="3">
        <v>1</v>
      </c>
      <c r="D61" s="3">
        <v>1</v>
      </c>
      <c r="E61" s="3">
        <v>1</v>
      </c>
      <c r="F61" s="3">
        <v>1</v>
      </c>
      <c r="G61" s="3">
        <v>1</v>
      </c>
      <c r="H61" s="3">
        <v>1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x14ac:dyDescent="0.35">
      <c r="A62" s="3">
        <v>1</v>
      </c>
      <c r="B62" s="3">
        <v>1</v>
      </c>
      <c r="C62" s="3">
        <v>1</v>
      </c>
      <c r="D62" s="3">
        <v>1</v>
      </c>
      <c r="E62" s="3">
        <v>1</v>
      </c>
      <c r="F62" s="3">
        <v>1</v>
      </c>
      <c r="G62" s="3">
        <v>1</v>
      </c>
      <c r="H62" s="3">
        <v>1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x14ac:dyDescent="0.35">
      <c r="A63" s="3">
        <v>1</v>
      </c>
      <c r="B63" s="3">
        <v>1</v>
      </c>
      <c r="C63" s="3">
        <v>1</v>
      </c>
      <c r="D63" s="3">
        <v>1</v>
      </c>
      <c r="E63" s="3">
        <v>1</v>
      </c>
      <c r="F63" s="3">
        <v>1</v>
      </c>
      <c r="G63" s="3">
        <v>1</v>
      </c>
      <c r="H63" s="3">
        <v>1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x14ac:dyDescent="0.35">
      <c r="A64" s="3">
        <v>1</v>
      </c>
      <c r="B64" s="3">
        <v>1</v>
      </c>
      <c r="C64" s="3">
        <v>1</v>
      </c>
      <c r="D64" s="3">
        <v>1</v>
      </c>
      <c r="E64" s="3">
        <v>1</v>
      </c>
      <c r="F64" s="3">
        <v>1</v>
      </c>
      <c r="G64" s="3">
        <v>1</v>
      </c>
      <c r="H64" s="3">
        <v>1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x14ac:dyDescent="0.35">
      <c r="A65" s="3">
        <v>1</v>
      </c>
      <c r="B65" s="3">
        <v>1</v>
      </c>
      <c r="C65" s="3">
        <v>1</v>
      </c>
      <c r="D65" s="3">
        <v>1</v>
      </c>
      <c r="E65" s="3">
        <v>1</v>
      </c>
      <c r="F65" s="3">
        <v>1</v>
      </c>
      <c r="G65" s="3">
        <v>1</v>
      </c>
      <c r="H65" s="3">
        <v>1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x14ac:dyDescent="0.35">
      <c r="A66" s="3">
        <v>1</v>
      </c>
      <c r="B66" s="3">
        <v>1</v>
      </c>
      <c r="C66" s="3">
        <v>1</v>
      </c>
      <c r="D66" s="3">
        <v>1</v>
      </c>
      <c r="E66" s="3">
        <v>1</v>
      </c>
      <c r="F66" s="3">
        <v>1</v>
      </c>
      <c r="G66" s="3">
        <v>1</v>
      </c>
      <c r="H66" s="3">
        <v>1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x14ac:dyDescent="0.35">
      <c r="A67" s="3">
        <v>1</v>
      </c>
      <c r="B67" s="3">
        <v>1</v>
      </c>
      <c r="C67" s="3">
        <v>1</v>
      </c>
      <c r="D67" s="3">
        <v>1</v>
      </c>
      <c r="E67" s="3">
        <v>1</v>
      </c>
      <c r="F67" s="3">
        <v>1</v>
      </c>
      <c r="G67" s="3">
        <v>1</v>
      </c>
      <c r="H67" s="3">
        <v>1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x14ac:dyDescent="0.35">
      <c r="A68" s="3">
        <v>1</v>
      </c>
      <c r="B68" s="3">
        <v>1</v>
      </c>
      <c r="C68" s="3">
        <v>1</v>
      </c>
      <c r="D68" s="3">
        <v>1</v>
      </c>
      <c r="E68" s="3">
        <v>1</v>
      </c>
      <c r="F68" s="3">
        <v>1</v>
      </c>
      <c r="G68" s="3">
        <v>1</v>
      </c>
      <c r="H68" s="3">
        <v>1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x14ac:dyDescent="0.35">
      <c r="A69" s="3">
        <v>1</v>
      </c>
      <c r="B69" s="3">
        <v>1</v>
      </c>
      <c r="C69" s="3">
        <v>1</v>
      </c>
      <c r="D69" s="3">
        <v>1</v>
      </c>
      <c r="E69" s="3">
        <v>1</v>
      </c>
      <c r="F69" s="3">
        <v>1</v>
      </c>
      <c r="G69" s="3">
        <v>1</v>
      </c>
      <c r="H69" s="3">
        <v>1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x14ac:dyDescent="0.35">
      <c r="A70" s="3">
        <v>1</v>
      </c>
      <c r="B70" s="3">
        <v>1</v>
      </c>
      <c r="C70" s="3">
        <v>1</v>
      </c>
      <c r="D70" s="3">
        <v>1</v>
      </c>
      <c r="E70" s="3">
        <v>1</v>
      </c>
      <c r="F70" s="3">
        <v>1</v>
      </c>
      <c r="G70" s="3">
        <v>1</v>
      </c>
      <c r="H70" s="3">
        <v>1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x14ac:dyDescent="0.35">
      <c r="A71" s="3">
        <v>1</v>
      </c>
      <c r="B71" s="3">
        <v>1</v>
      </c>
      <c r="C71" s="3">
        <v>1</v>
      </c>
      <c r="D71" s="3">
        <v>1</v>
      </c>
      <c r="E71" s="3">
        <v>1</v>
      </c>
      <c r="F71" s="3">
        <v>1</v>
      </c>
      <c r="G71" s="3">
        <v>1</v>
      </c>
      <c r="H71" s="3">
        <v>1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99599-CF08-44CE-9604-2417438E103C}">
  <dimension ref="A1:V71"/>
  <sheetViews>
    <sheetView workbookViewId="0">
      <selection activeCell="F12" sqref="F12"/>
    </sheetView>
  </sheetViews>
  <sheetFormatPr defaultColWidth="8.7265625" defaultRowHeight="14.5" x14ac:dyDescent="0.35"/>
  <cols>
    <col min="1" max="1" width="11" bestFit="1" customWidth="1"/>
    <col min="4" max="4" width="10" bestFit="1" customWidth="1"/>
    <col min="20" max="20" width="9.7265625" bestFit="1" customWidth="1"/>
  </cols>
  <sheetData>
    <row r="1" spans="1:22" s="4" customFormat="1" x14ac:dyDescent="0.35">
      <c r="A1" s="4">
        <f>0.00000005</f>
        <v>4.9999999999999998E-8</v>
      </c>
      <c r="B1" s="4">
        <f>0.0000001</f>
        <v>9.9999999999999995E-8</v>
      </c>
      <c r="C1" s="7">
        <f>0.5*10^-6</f>
        <v>4.9999999999999998E-7</v>
      </c>
      <c r="D1" s="7">
        <f>0.8*10^-6</f>
        <v>7.9999999999999996E-7</v>
      </c>
      <c r="E1" s="7">
        <f>1*10^-6</f>
        <v>9.9999999999999995E-7</v>
      </c>
      <c r="F1" s="7">
        <f>5*10^-6</f>
        <v>4.9999999999999996E-6</v>
      </c>
      <c r="G1" s="7">
        <f>10*10^-6</f>
        <v>9.9999999999999991E-6</v>
      </c>
      <c r="H1" s="7">
        <f>20*10^-6</f>
        <v>1.9999999999999998E-5</v>
      </c>
      <c r="I1" s="7"/>
      <c r="J1" s="7"/>
    </row>
    <row r="2" spans="1:22" x14ac:dyDescent="0.35"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 x14ac:dyDescent="0.35"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spans="1:22" x14ac:dyDescent="0.35"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spans="1:22" x14ac:dyDescent="0.35"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 x14ac:dyDescent="0.35"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spans="1:22" x14ac:dyDescent="0.35"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spans="1:22" x14ac:dyDescent="0.35"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spans="1:22" x14ac:dyDescent="0.35"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spans="1:22" x14ac:dyDescent="0.35"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spans="1:22" x14ac:dyDescent="0.35"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  <row r="12" spans="1:22" x14ac:dyDescent="0.35"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  <row r="13" spans="1:22" x14ac:dyDescent="0.35"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1:22" x14ac:dyDescent="0.35"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spans="1:22" x14ac:dyDescent="0.35"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spans="1:22" x14ac:dyDescent="0.35"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spans="7:22" x14ac:dyDescent="0.35"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spans="7:22" x14ac:dyDescent="0.35"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spans="7:22" x14ac:dyDescent="0.35"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spans="7:22" x14ac:dyDescent="0.35"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spans="7:22" x14ac:dyDescent="0.35"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spans="7:22" x14ac:dyDescent="0.35"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spans="7:22" x14ac:dyDescent="0.35"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spans="7:22" x14ac:dyDescent="0.35"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spans="7:22" x14ac:dyDescent="0.35"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spans="7:22" x14ac:dyDescent="0.35"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spans="7:22" x14ac:dyDescent="0.35"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spans="7:22" x14ac:dyDescent="0.35"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spans="7:22" x14ac:dyDescent="0.35"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spans="7:22" x14ac:dyDescent="0.35"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spans="7:22" x14ac:dyDescent="0.35"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spans="7:22" x14ac:dyDescent="0.35"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spans="7:22" x14ac:dyDescent="0.35"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spans="7:22" x14ac:dyDescent="0.35"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spans="7:22" x14ac:dyDescent="0.35"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spans="7:22" x14ac:dyDescent="0.35"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spans="7:22" x14ac:dyDescent="0.35"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 spans="7:22" x14ac:dyDescent="0.35"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spans="7:22" x14ac:dyDescent="0.35"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 spans="7:22" x14ac:dyDescent="0.35"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 spans="7:22" x14ac:dyDescent="0.35"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spans="7:22" x14ac:dyDescent="0.35"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spans="7:22" x14ac:dyDescent="0.35"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 spans="7:22" x14ac:dyDescent="0.35"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spans="7:22" x14ac:dyDescent="0.35"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spans="7:22" x14ac:dyDescent="0.35"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spans="7:22" x14ac:dyDescent="0.35"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 spans="7:22" x14ac:dyDescent="0.35"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 spans="7:22" x14ac:dyDescent="0.35"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7:22" x14ac:dyDescent="0.35"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spans="7:22" x14ac:dyDescent="0.35"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spans="7:22" x14ac:dyDescent="0.35"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</row>
    <row r="53" spans="7:22" x14ac:dyDescent="0.35"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</row>
    <row r="54" spans="7:22" x14ac:dyDescent="0.35"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 spans="7:22" x14ac:dyDescent="0.35"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</row>
    <row r="56" spans="7:22" x14ac:dyDescent="0.35"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</row>
    <row r="57" spans="7:22" x14ac:dyDescent="0.35"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 spans="7:22" x14ac:dyDescent="0.35"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 spans="7:22" x14ac:dyDescent="0.35"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</row>
    <row r="60" spans="7:22" x14ac:dyDescent="0.35"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</row>
    <row r="61" spans="7:22" x14ac:dyDescent="0.35"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</row>
    <row r="62" spans="7:22" x14ac:dyDescent="0.35"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</row>
    <row r="63" spans="7:22" x14ac:dyDescent="0.35"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</row>
    <row r="64" spans="7:22" x14ac:dyDescent="0.35"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</row>
    <row r="65" spans="7:22" x14ac:dyDescent="0.35"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</row>
    <row r="66" spans="7:22" x14ac:dyDescent="0.35"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</row>
    <row r="67" spans="7:22" x14ac:dyDescent="0.35"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</row>
    <row r="68" spans="7:22" x14ac:dyDescent="0.35"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</row>
    <row r="69" spans="7:22" x14ac:dyDescent="0.35"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</row>
    <row r="70" spans="7:22" x14ac:dyDescent="0.35"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</row>
    <row r="71" spans="7:22" x14ac:dyDescent="0.35"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D7BF0-F9F7-4400-BABC-2A3DFFBCB97C}">
  <dimension ref="A1:D72"/>
  <sheetViews>
    <sheetView workbookViewId="0">
      <selection activeCell="F79" sqref="F79"/>
    </sheetView>
  </sheetViews>
  <sheetFormatPr defaultRowHeight="14.5" x14ac:dyDescent="0.35"/>
  <cols>
    <col min="1" max="1" width="12" bestFit="1" customWidth="1"/>
    <col min="3" max="3" width="12" bestFit="1" customWidth="1"/>
  </cols>
  <sheetData>
    <row r="1" spans="1:4" x14ac:dyDescent="0.35">
      <c r="A1" s="9" t="s">
        <v>14</v>
      </c>
      <c r="B1" t="s">
        <v>12</v>
      </c>
      <c r="C1" t="s">
        <v>11</v>
      </c>
      <c r="D1" s="10" t="s">
        <v>13</v>
      </c>
    </row>
    <row r="2" spans="1:4" x14ac:dyDescent="0.35">
      <c r="A2">
        <v>2.9463347978690526E-7</v>
      </c>
      <c r="B2">
        <v>1.9799999999999999E-8</v>
      </c>
      <c r="C2">
        <v>4.8900000000000004E-13</v>
      </c>
      <c r="D2" s="11">
        <v>3.7E-8</v>
      </c>
    </row>
    <row r="3" spans="1:4" x14ac:dyDescent="0.35">
      <c r="A3">
        <v>4.0048032807055617E-7</v>
      </c>
      <c r="B3">
        <v>2.6300000000000001E-8</v>
      </c>
      <c r="C3">
        <v>7.9299999999999995E-13</v>
      </c>
      <c r="D3" s="11">
        <v>4.8599999999999998E-8</v>
      </c>
    </row>
    <row r="4" spans="1:4" x14ac:dyDescent="0.35">
      <c r="A4">
        <v>5.4322332518338386E-7</v>
      </c>
      <c r="B4">
        <v>3.47E-8</v>
      </c>
      <c r="C4">
        <v>1.28E-12</v>
      </c>
      <c r="D4" s="11">
        <v>6.3800000000000002E-8</v>
      </c>
    </row>
    <row r="5" spans="1:4" x14ac:dyDescent="0.35">
      <c r="A5">
        <v>7.3533112675495688E-7</v>
      </c>
      <c r="B5">
        <v>4.51E-8</v>
      </c>
      <c r="C5">
        <v>2.0400000000000002E-12</v>
      </c>
      <c r="D5" s="11">
        <v>8.3700000000000002E-8</v>
      </c>
    </row>
    <row r="6" spans="1:4" x14ac:dyDescent="0.35">
      <c r="A6">
        <v>9.9335360292904662E-7</v>
      </c>
      <c r="B6">
        <v>5.8000000000000003E-8</v>
      </c>
      <c r="C6">
        <v>3.2500000000000001E-12</v>
      </c>
      <c r="D6" s="11">
        <v>1.1000000000000001E-7</v>
      </c>
    </row>
    <row r="7" spans="1:4" x14ac:dyDescent="0.35">
      <c r="A7">
        <v>1.3392143937263566E-6</v>
      </c>
      <c r="B7">
        <v>7.4299999999999997E-8</v>
      </c>
      <c r="C7">
        <v>5.12E-12</v>
      </c>
      <c r="D7" s="11">
        <v>1.43E-7</v>
      </c>
    </row>
    <row r="8" spans="1:4" x14ac:dyDescent="0.35">
      <c r="A8">
        <v>1.801899118117756E-6</v>
      </c>
      <c r="B8">
        <v>9.4199999999999996E-8</v>
      </c>
      <c r="C8">
        <v>8.0600000000000008E-12</v>
      </c>
      <c r="D8" s="11">
        <v>1.8699999999999999E-7</v>
      </c>
    </row>
    <row r="9" spans="1:4" x14ac:dyDescent="0.35">
      <c r="A9">
        <v>2.4196561477940847E-6</v>
      </c>
      <c r="B9">
        <v>1.17E-7</v>
      </c>
      <c r="C9">
        <v>1.24E-11</v>
      </c>
      <c r="D9" s="11">
        <v>2.4299999999999999E-7</v>
      </c>
    </row>
    <row r="10" spans="1:4" x14ac:dyDescent="0.35">
      <c r="A10">
        <v>3.2428601593909522E-6</v>
      </c>
      <c r="B10">
        <v>1.4600000000000001E-7</v>
      </c>
      <c r="C10">
        <v>1.9199999999999999E-11</v>
      </c>
      <c r="D10" s="11">
        <v>3.1600000000000002E-7</v>
      </c>
    </row>
    <row r="11" spans="1:4" x14ac:dyDescent="0.35">
      <c r="A11">
        <v>4.3377311130479028E-6</v>
      </c>
      <c r="B11">
        <v>1.8199999999999999E-7</v>
      </c>
      <c r="C11">
        <v>2.9699999999999998E-11</v>
      </c>
      <c r="D11" s="11">
        <v>4.1199999999999998E-7</v>
      </c>
    </row>
    <row r="12" spans="1:4" x14ac:dyDescent="0.35">
      <c r="A12">
        <v>5.7911552765955138E-6</v>
      </c>
      <c r="B12">
        <v>2.23E-7</v>
      </c>
      <c r="C12">
        <v>4.54E-11</v>
      </c>
      <c r="D12" s="11">
        <v>5.3300000000000002E-7</v>
      </c>
    </row>
    <row r="13" spans="1:4" x14ac:dyDescent="0.35">
      <c r="A13">
        <v>7.7169234373134496E-6</v>
      </c>
      <c r="B13">
        <v>2.7300000000000002E-7</v>
      </c>
      <c r="C13">
        <v>6.9099999999999999E-11</v>
      </c>
      <c r="D13" s="11">
        <v>6.8999999999999996E-7</v>
      </c>
    </row>
    <row r="14" spans="1:4" x14ac:dyDescent="0.35">
      <c r="A14">
        <v>1.0263788286073135E-5</v>
      </c>
      <c r="B14">
        <v>3.3099999999999999E-7</v>
      </c>
      <c r="C14">
        <v>1.04E-10</v>
      </c>
      <c r="D14" s="11">
        <v>8.9800000000000002E-7</v>
      </c>
    </row>
    <row r="15" spans="1:4" x14ac:dyDescent="0.35">
      <c r="A15">
        <v>1.3625852826793844E-5</v>
      </c>
      <c r="B15">
        <v>4.0200000000000003E-7</v>
      </c>
      <c r="C15">
        <v>1.58E-10</v>
      </c>
      <c r="D15" s="11">
        <v>1.15E-6</v>
      </c>
    </row>
    <row r="16" spans="1:4" x14ac:dyDescent="0.35">
      <c r="A16">
        <v>1.8055940420969466E-5</v>
      </c>
      <c r="B16">
        <v>4.7899999999999999E-7</v>
      </c>
      <c r="C16">
        <v>2.3400000000000002E-10</v>
      </c>
      <c r="D16" s="11">
        <v>1.4899999999999999E-6</v>
      </c>
    </row>
    <row r="17" spans="1:4" x14ac:dyDescent="0.35">
      <c r="A17">
        <v>2.3882772017312179E-5</v>
      </c>
      <c r="B17">
        <v>5.7199999999999999E-7</v>
      </c>
      <c r="C17">
        <v>3.4899999999999998E-10</v>
      </c>
      <c r="D17" s="11">
        <v>1.9199999999999998E-6</v>
      </c>
    </row>
    <row r="18" spans="1:4" x14ac:dyDescent="0.35">
      <c r="A18">
        <v>3.1532996300458579E-5</v>
      </c>
      <c r="B18">
        <v>6.8500000000000001E-7</v>
      </c>
      <c r="C18">
        <v>5.2099999999999996E-10</v>
      </c>
      <c r="D18" s="11">
        <v>2.4700000000000001E-6</v>
      </c>
    </row>
    <row r="19" spans="1:4" x14ac:dyDescent="0.35">
      <c r="A19">
        <v>4.1559395154342773E-5</v>
      </c>
      <c r="B19">
        <v>8.0800000000000004E-7</v>
      </c>
      <c r="C19">
        <v>7.6800000000000004E-10</v>
      </c>
      <c r="D19" s="11">
        <v>3.1599999999999998E-6</v>
      </c>
    </row>
    <row r="20" spans="1:4" x14ac:dyDescent="0.35">
      <c r="A20">
        <v>5.4676933882078056E-5</v>
      </c>
      <c r="B20">
        <v>9.5799999999999998E-7</v>
      </c>
      <c r="C20">
        <v>1.14E-9</v>
      </c>
      <c r="D20" s="11">
        <v>4.0400000000000003E-6</v>
      </c>
    </row>
    <row r="21" spans="1:4" x14ac:dyDescent="0.35">
      <c r="A21">
        <v>7.1808760242322397E-5</v>
      </c>
      <c r="B21">
        <v>1.1200000000000001E-6</v>
      </c>
      <c r="C21">
        <v>1.67E-9</v>
      </c>
      <c r="D21" s="11">
        <v>5.1699999999999996E-6</v>
      </c>
    </row>
    <row r="22" spans="1:4" x14ac:dyDescent="0.35">
      <c r="A22">
        <v>9.4144799759615492E-5</v>
      </c>
      <c r="B22">
        <v>1.3200000000000001E-6</v>
      </c>
      <c r="C22">
        <v>2.45E-9</v>
      </c>
      <c r="D22" s="11">
        <v>6.6000000000000003E-6</v>
      </c>
    </row>
    <row r="23" spans="1:4" x14ac:dyDescent="0.35">
      <c r="A23">
        <v>1.2321627306912308E-4</v>
      </c>
      <c r="B23">
        <v>1.53E-6</v>
      </c>
      <c r="C23">
        <v>3.5899999999999998E-9</v>
      </c>
      <c r="D23" s="11">
        <v>8.3899999999999993E-6</v>
      </c>
    </row>
    <row r="24" spans="1:4" x14ac:dyDescent="0.35">
      <c r="A24">
        <v>1.6099030639914723E-4</v>
      </c>
      <c r="B24">
        <v>1.7799999999999999E-6</v>
      </c>
      <c r="C24">
        <v>5.2400000000000001E-9</v>
      </c>
      <c r="D24" s="11">
        <v>1.0699999999999999E-5</v>
      </c>
    </row>
    <row r="25" spans="1:4" x14ac:dyDescent="0.35">
      <c r="A25">
        <v>2.0998985814093716E-4</v>
      </c>
      <c r="B25">
        <v>2.0700000000000001E-6</v>
      </c>
      <c r="C25">
        <v>7.6600000000000004E-9</v>
      </c>
      <c r="D25" s="11">
        <v>1.3499999999999999E-5</v>
      </c>
    </row>
    <row r="26" spans="1:4" x14ac:dyDescent="0.35">
      <c r="A26">
        <v>2.7344549119245811E-4</v>
      </c>
      <c r="B26">
        <v>2.39E-6</v>
      </c>
      <c r="C26">
        <v>1.11E-8</v>
      </c>
      <c r="D26" s="11">
        <v>1.7099999999999999E-5</v>
      </c>
    </row>
    <row r="27" spans="1:4" x14ac:dyDescent="0.35">
      <c r="A27">
        <v>3.5548714163089433E-4</v>
      </c>
      <c r="B27">
        <v>2.7499999999999999E-6</v>
      </c>
      <c r="C27">
        <v>1.6199999999999999E-8</v>
      </c>
      <c r="D27" s="11">
        <v>2.1800000000000001E-5</v>
      </c>
    </row>
    <row r="28" spans="1:4" x14ac:dyDescent="0.35">
      <c r="A28">
        <v>4.6138604168331521E-4</v>
      </c>
      <c r="B28">
        <v>3.1700000000000001E-6</v>
      </c>
      <c r="C28">
        <v>2.37E-8</v>
      </c>
      <c r="D28" s="11">
        <v>2.6999999999999999E-5</v>
      </c>
    </row>
    <row r="29" spans="1:4" x14ac:dyDescent="0.35">
      <c r="A29">
        <v>5.9785943731481897E-4</v>
      </c>
      <c r="B29">
        <v>3.6100000000000002E-6</v>
      </c>
      <c r="C29">
        <v>3.4300000000000003E-8</v>
      </c>
      <c r="D29" s="11">
        <v>3.4E-5</v>
      </c>
    </row>
    <row r="30" spans="1:4" x14ac:dyDescent="0.35">
      <c r="A30">
        <v>7.7345380576208803E-4</v>
      </c>
      <c r="B30">
        <v>4.1400000000000002E-6</v>
      </c>
      <c r="C30">
        <v>5.02E-8</v>
      </c>
      <c r="D30" s="11">
        <v>4.2799999999999997E-5</v>
      </c>
    </row>
    <row r="31" spans="1:4" x14ac:dyDescent="0.35">
      <c r="A31">
        <v>9.990260571032391E-4</v>
      </c>
      <c r="B31">
        <v>4.6999999999999999E-6</v>
      </c>
      <c r="C31">
        <v>7.2899999999999998E-8</v>
      </c>
      <c r="D31" s="11">
        <v>5.3100000000000003E-5</v>
      </c>
    </row>
    <row r="32" spans="1:4" x14ac:dyDescent="0.35">
      <c r="A32">
        <v>1.2883468557758379E-3</v>
      </c>
      <c r="B32">
        <v>5.3399999999999997E-6</v>
      </c>
      <c r="C32">
        <v>1.06E-7</v>
      </c>
      <c r="D32" s="11">
        <v>6.69E-5</v>
      </c>
    </row>
    <row r="33" spans="1:4" x14ac:dyDescent="0.35">
      <c r="A33">
        <v>1.6588559161357127E-3</v>
      </c>
      <c r="B33">
        <v>6.0599999999999996E-6</v>
      </c>
      <c r="C33">
        <v>1.5599999999999999E-7</v>
      </c>
      <c r="D33" s="11">
        <v>8.3599999999999999E-5</v>
      </c>
    </row>
    <row r="34" spans="1:4" x14ac:dyDescent="0.35">
      <c r="A34">
        <v>2.1326061449107214E-3</v>
      </c>
      <c r="B34">
        <v>6.8700000000000003E-6</v>
      </c>
      <c r="C34">
        <v>2.2700000000000001E-7</v>
      </c>
      <c r="D34" s="11">
        <v>1.03E-4</v>
      </c>
    </row>
    <row r="35" spans="1:4" x14ac:dyDescent="0.35">
      <c r="A35">
        <v>2.7374421061422687E-3</v>
      </c>
      <c r="B35">
        <v>7.7500000000000003E-6</v>
      </c>
      <c r="C35">
        <v>3.3200000000000001E-7</v>
      </c>
      <c r="D35" s="11">
        <v>1.27E-4</v>
      </c>
    </row>
    <row r="36" spans="1:4" x14ac:dyDescent="0.35">
      <c r="A36">
        <v>3.5084688133385591E-3</v>
      </c>
      <c r="B36">
        <v>8.8100000000000004E-6</v>
      </c>
      <c r="C36">
        <v>4.8800000000000003E-7</v>
      </c>
      <c r="D36" s="11">
        <v>1.56E-4</v>
      </c>
    </row>
    <row r="37" spans="1:4" x14ac:dyDescent="0.35">
      <c r="A37">
        <v>4.4898797222394093E-3</v>
      </c>
      <c r="B37">
        <v>9.8500000000000006E-6</v>
      </c>
      <c r="C37">
        <v>7.0999999999999998E-7</v>
      </c>
      <c r="D37" s="11">
        <v>1.93E-4</v>
      </c>
    </row>
    <row r="38" spans="1:4" x14ac:dyDescent="0.35">
      <c r="A38">
        <v>5.737228503620218E-3</v>
      </c>
      <c r="B38">
        <v>1.11E-5</v>
      </c>
      <c r="C38">
        <v>1.04E-6</v>
      </c>
      <c r="D38" s="11">
        <v>2.3699999999999999E-4</v>
      </c>
    </row>
    <row r="39" spans="1:4" x14ac:dyDescent="0.35">
      <c r="A39">
        <v>7.3202483179394913E-3</v>
      </c>
      <c r="B39">
        <v>1.2500000000000001E-5</v>
      </c>
      <c r="C39">
        <v>1.5099999999999999E-6</v>
      </c>
      <c r="D39" s="11">
        <v>2.9100000000000003E-4</v>
      </c>
    </row>
    <row r="40" spans="1:4" x14ac:dyDescent="0.35">
      <c r="A40">
        <v>9.3263456121308874E-3</v>
      </c>
      <c r="B40">
        <v>1.4E-5</v>
      </c>
      <c r="C40">
        <v>2.21E-6</v>
      </c>
      <c r="D40" s="11">
        <v>3.5300000000000002E-4</v>
      </c>
    </row>
    <row r="41" spans="1:4" x14ac:dyDescent="0.35">
      <c r="A41">
        <v>1.1864923777202425E-2</v>
      </c>
      <c r="B41">
        <v>1.5699999999999999E-5</v>
      </c>
      <c r="C41">
        <v>3.2100000000000002E-6</v>
      </c>
      <c r="D41" s="11">
        <v>4.2999999999999999E-4</v>
      </c>
    </row>
    <row r="42" spans="1:4" x14ac:dyDescent="0.35">
      <c r="A42">
        <v>1.5072726378673757E-2</v>
      </c>
      <c r="B42">
        <v>1.7600000000000001E-5</v>
      </c>
      <c r="C42">
        <v>4.7099999999999998E-6</v>
      </c>
      <c r="D42" s="11">
        <v>5.2400000000000005E-4</v>
      </c>
    </row>
    <row r="43" spans="1:4" x14ac:dyDescent="0.35">
      <c r="A43">
        <v>1.9120431339144074E-2</v>
      </c>
      <c r="B43">
        <v>1.9700000000000001E-5</v>
      </c>
      <c r="C43">
        <v>6.8000000000000001E-6</v>
      </c>
      <c r="D43" s="11">
        <v>6.3299999999999999E-4</v>
      </c>
    </row>
    <row r="44" spans="1:4" x14ac:dyDescent="0.35">
      <c r="A44">
        <v>2.4220777894315652E-2</v>
      </c>
      <c r="B44">
        <v>2.2099999999999998E-5</v>
      </c>
      <c r="C44">
        <v>9.9199999999999999E-6</v>
      </c>
      <c r="D44" s="11">
        <v>7.5699999999999997E-4</v>
      </c>
    </row>
    <row r="45" spans="1:4" x14ac:dyDescent="0.35">
      <c r="A45">
        <v>3.0638569128339434E-2</v>
      </c>
      <c r="B45">
        <v>2.48E-5</v>
      </c>
      <c r="C45">
        <v>1.4399999999999999E-5</v>
      </c>
      <c r="D45" s="11">
        <v>9.1500000000000001E-4</v>
      </c>
    </row>
    <row r="46" spans="1:4" x14ac:dyDescent="0.35">
      <c r="A46">
        <v>3.870296652897099E-2</v>
      </c>
      <c r="B46">
        <v>2.7699999999999999E-5</v>
      </c>
      <c r="C46">
        <v>2.0800000000000001E-5</v>
      </c>
      <c r="D46" s="11">
        <v>1.09E-3</v>
      </c>
    </row>
    <row r="47" spans="1:4" x14ac:dyDescent="0.35">
      <c r="A47">
        <v>4.8822581797220335E-2</v>
      </c>
      <c r="B47">
        <v>3.1199999999999999E-5</v>
      </c>
      <c r="C47">
        <v>3.0300000000000001E-5</v>
      </c>
      <c r="D47" s="11">
        <v>1.2999999999999999E-3</v>
      </c>
    </row>
    <row r="48" spans="1:4" x14ac:dyDescent="0.35">
      <c r="A48">
        <v>6.150397808426307E-2</v>
      </c>
      <c r="B48">
        <v>3.5099999999999999E-5</v>
      </c>
      <c r="C48">
        <v>4.3699999999999998E-5</v>
      </c>
      <c r="D48" s="11">
        <v>1.5499999999999999E-3</v>
      </c>
    </row>
    <row r="49" spans="1:4" x14ac:dyDescent="0.35">
      <c r="A49">
        <v>7.7374321454917516E-2</v>
      </c>
      <c r="B49">
        <v>3.96E-5</v>
      </c>
      <c r="C49">
        <v>6.3499999999999999E-5</v>
      </c>
      <c r="D49" s="11">
        <v>1.8400000000000001E-3</v>
      </c>
    </row>
    <row r="50" spans="1:4" x14ac:dyDescent="0.35">
      <c r="A50">
        <v>9.7209077896789828E-2</v>
      </c>
      <c r="B50">
        <v>4.4499999999999997E-5</v>
      </c>
      <c r="C50">
        <v>9.1500000000000001E-5</v>
      </c>
      <c r="D50" s="11">
        <v>2.16E-3</v>
      </c>
    </row>
    <row r="51" spans="1:4" x14ac:dyDescent="0.35">
      <c r="A51">
        <v>0.12196583658924166</v>
      </c>
      <c r="B51">
        <v>5.0599999999999997E-5</v>
      </c>
      <c r="C51">
        <v>1.3300000000000001E-4</v>
      </c>
      <c r="D51" s="11">
        <v>2.5400000000000002E-3</v>
      </c>
    </row>
    <row r="52" spans="1:4" x14ac:dyDescent="0.35">
      <c r="A52">
        <v>0.1528255623120385</v>
      </c>
      <c r="B52">
        <v>5.7500000000000002E-5</v>
      </c>
      <c r="C52">
        <v>1.9100000000000001E-4</v>
      </c>
      <c r="D52" s="11">
        <v>2.96E-3</v>
      </c>
    </row>
    <row r="53" spans="1:4" x14ac:dyDescent="0.35">
      <c r="A53">
        <v>0.19124284577840464</v>
      </c>
      <c r="B53">
        <v>6.5699999999999998E-5</v>
      </c>
      <c r="C53">
        <v>2.7900000000000001E-4</v>
      </c>
      <c r="D53" s="11">
        <v>3.47E-3</v>
      </c>
    </row>
    <row r="54" spans="1:4" x14ac:dyDescent="0.35">
      <c r="A54">
        <v>0.23900703854762204</v>
      </c>
      <c r="B54">
        <v>7.5099999999999996E-5</v>
      </c>
      <c r="C54">
        <v>4.0299999999999998E-4</v>
      </c>
      <c r="D54" s="11">
        <v>4.0299999999999997E-3</v>
      </c>
    </row>
    <row r="55" spans="1:4" x14ac:dyDescent="0.35">
      <c r="A55">
        <v>0.29831653870865427</v>
      </c>
      <c r="B55">
        <v>8.5900000000000001E-5</v>
      </c>
      <c r="C55">
        <v>5.8399999999999999E-4</v>
      </c>
      <c r="D55" s="11">
        <v>4.6499999999999996E-3</v>
      </c>
    </row>
    <row r="56" spans="1:4" x14ac:dyDescent="0.35">
      <c r="A56">
        <v>0.37186894615381255</v>
      </c>
      <c r="B56">
        <v>9.87E-5</v>
      </c>
      <c r="C56">
        <v>8.43E-4</v>
      </c>
      <c r="D56" s="11">
        <v>5.4000000000000003E-3</v>
      </c>
    </row>
    <row r="57" spans="1:4" x14ac:dyDescent="0.35">
      <c r="A57">
        <v>0.4629703454209021</v>
      </c>
      <c r="B57">
        <v>1.1400000000000001E-4</v>
      </c>
      <c r="C57">
        <v>1.2199999999999999E-3</v>
      </c>
      <c r="D57" s="11">
        <v>6.1799999999999997E-3</v>
      </c>
    </row>
    <row r="58" spans="1:4" x14ac:dyDescent="0.35">
      <c r="A58">
        <v>0.57566761556736945</v>
      </c>
      <c r="B58">
        <v>1.3300000000000001E-4</v>
      </c>
      <c r="C58">
        <v>1.7700000000000001E-3</v>
      </c>
      <c r="D58" s="11">
        <v>7.0499999999999998E-3</v>
      </c>
    </row>
    <row r="59" spans="1:4" x14ac:dyDescent="0.35">
      <c r="A59">
        <v>0.7149084288893286</v>
      </c>
      <c r="B59">
        <v>1.54E-4</v>
      </c>
      <c r="C59">
        <v>2.5600000000000002E-3</v>
      </c>
      <c r="D59" s="11">
        <v>8.0000000000000002E-3</v>
      </c>
    </row>
    <row r="60" spans="1:4" x14ac:dyDescent="0.35">
      <c r="A60">
        <v>0.88673450524600517</v>
      </c>
      <c r="B60">
        <v>1.7899999999999999E-4</v>
      </c>
      <c r="C60">
        <v>3.6800000000000001E-3</v>
      </c>
      <c r="D60" s="11">
        <v>9.0399999999999994E-3</v>
      </c>
    </row>
    <row r="61" spans="1:4" x14ac:dyDescent="0.35">
      <c r="A61">
        <v>1.0985147617496061</v>
      </c>
      <c r="B61">
        <v>2.0900000000000001E-4</v>
      </c>
      <c r="C61">
        <v>5.3E-3</v>
      </c>
      <c r="D61" s="11">
        <v>1.0200000000000001E-2</v>
      </c>
    </row>
    <row r="62" spans="1:4" x14ac:dyDescent="0.35">
      <c r="A62">
        <v>1.3592262684083165</v>
      </c>
      <c r="B62">
        <v>2.4399999999999999E-4</v>
      </c>
      <c r="C62">
        <v>7.5799999999999999E-3</v>
      </c>
      <c r="D62" s="11">
        <v>1.14E-2</v>
      </c>
    </row>
    <row r="63" spans="1:4" x14ac:dyDescent="0.35">
      <c r="A63">
        <v>1.6797924237601143</v>
      </c>
      <c r="B63">
        <v>2.8600000000000001E-4</v>
      </c>
      <c r="C63">
        <v>1.09E-2</v>
      </c>
      <c r="D63" s="11">
        <v>1.2699999999999999E-2</v>
      </c>
    </row>
    <row r="64" spans="1:4" x14ac:dyDescent="0.35">
      <c r="A64">
        <v>2.0734895412208862</v>
      </c>
      <c r="B64">
        <v>3.3599999999999998E-4</v>
      </c>
      <c r="C64">
        <v>1.55E-2</v>
      </c>
      <c r="D64" s="11">
        <v>1.41E-2</v>
      </c>
    </row>
    <row r="65" spans="1:4" x14ac:dyDescent="0.35">
      <c r="A65">
        <v>2.5564351341492664</v>
      </c>
      <c r="B65">
        <v>3.9100000000000002E-4</v>
      </c>
      <c r="C65">
        <v>2.1899999999999999E-2</v>
      </c>
      <c r="D65" s="11">
        <v>1.5699999999999999E-2</v>
      </c>
    </row>
    <row r="66" spans="1:4" x14ac:dyDescent="0.35">
      <c r="A66">
        <v>3.1481736606614676</v>
      </c>
      <c r="B66">
        <v>4.5899999999999999E-4</v>
      </c>
      <c r="C66">
        <v>3.0800000000000001E-2</v>
      </c>
      <c r="D66" s="11">
        <v>1.7399999999999999E-2</v>
      </c>
    </row>
    <row r="67" spans="1:4" x14ac:dyDescent="0.35">
      <c r="A67">
        <v>3.872378402189339</v>
      </c>
      <c r="B67">
        <v>5.3799999999999996E-4</v>
      </c>
      <c r="C67">
        <v>4.3200000000000002E-2</v>
      </c>
      <c r="D67" s="11">
        <v>1.9E-2</v>
      </c>
    </row>
    <row r="68" spans="1:4" x14ac:dyDescent="0.35">
      <c r="A68">
        <v>4.7576915772620652</v>
      </c>
      <c r="B68">
        <v>6.29E-4</v>
      </c>
      <c r="C68">
        <v>5.9799999999999999E-2</v>
      </c>
      <c r="D68" s="11">
        <v>2.0799999999999999E-2</v>
      </c>
    </row>
    <row r="69" spans="1:4" x14ac:dyDescent="0.35">
      <c r="A69">
        <v>5.8387288206190222</v>
      </c>
      <c r="B69">
        <v>7.3300000000000004E-4</v>
      </c>
      <c r="C69">
        <v>8.2100000000000006E-2</v>
      </c>
      <c r="D69" s="11">
        <v>2.2599999999999999E-2</v>
      </c>
    </row>
    <row r="70" spans="1:4" x14ac:dyDescent="0.35">
      <c r="A70">
        <v>7.1572788879868217</v>
      </c>
      <c r="B70">
        <v>8.4800000000000001E-4</v>
      </c>
      <c r="C70">
        <v>0.111</v>
      </c>
      <c r="D70" s="11">
        <v>2.4400000000000002E-2</v>
      </c>
    </row>
    <row r="71" spans="1:4" x14ac:dyDescent="0.35">
      <c r="A71">
        <v>8.763734995091184</v>
      </c>
      <c r="B71">
        <v>9.8499999999999998E-4</v>
      </c>
      <c r="C71">
        <v>0.15</v>
      </c>
      <c r="D71" s="11">
        <v>2.63E-2</v>
      </c>
    </row>
    <row r="72" spans="1:4" x14ac:dyDescent="0.35">
      <c r="A72">
        <v>10.718800700468833</v>
      </c>
      <c r="B72">
        <v>1.14E-3</v>
      </c>
      <c r="C72">
        <v>0.2</v>
      </c>
      <c r="D72" s="11">
        <v>2.8199999999999999E-2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9103D-2D30-4DB3-885A-5F15E7C92A79}">
  <dimension ref="A1:H71"/>
  <sheetViews>
    <sheetView workbookViewId="0">
      <selection activeCell="J34" sqref="J34"/>
    </sheetView>
  </sheetViews>
  <sheetFormatPr defaultRowHeight="14.5" x14ac:dyDescent="0.35"/>
  <cols>
    <col min="2" max="2" width="10.26953125" bestFit="1" customWidth="1"/>
    <col min="8" max="8" width="13.7265625" bestFit="1" customWidth="1"/>
  </cols>
  <sheetData>
    <row r="1" spans="1:8" x14ac:dyDescent="0.35">
      <c r="A1" s="4">
        <v>1.9900000000000001E-10</v>
      </c>
      <c r="B1" s="4">
        <v>5.9400000000000002E-10</v>
      </c>
      <c r="C1" s="4">
        <v>1.67E-7</v>
      </c>
      <c r="D1" s="4">
        <v>2.6399999999999998E-7</v>
      </c>
      <c r="E1" s="4">
        <v>3.1699999999999999E-7</v>
      </c>
      <c r="F1" s="4">
        <v>8.9899999999999999E-7</v>
      </c>
      <c r="G1" s="4">
        <v>1.33E-6</v>
      </c>
      <c r="H1" s="4">
        <v>1.9199999999999998E-6</v>
      </c>
    </row>
    <row r="2" spans="1:8" x14ac:dyDescent="0.35">
      <c r="A2" s="4">
        <v>2.5599999999999999E-10</v>
      </c>
      <c r="B2" s="4">
        <v>7.6199999999999995E-10</v>
      </c>
      <c r="C2" s="4">
        <v>1.7700000000000001E-7</v>
      </c>
      <c r="D2" s="4">
        <v>2.84E-7</v>
      </c>
      <c r="E2" s="4">
        <v>3.41E-7</v>
      </c>
      <c r="F2" s="4">
        <v>9.850000000000001E-7</v>
      </c>
      <c r="G2" s="4">
        <v>1.46E-6</v>
      </c>
      <c r="H2" s="4">
        <v>2.12E-6</v>
      </c>
    </row>
    <row r="3" spans="1:8" x14ac:dyDescent="0.35">
      <c r="A3" s="4">
        <v>3.2700000000000001E-10</v>
      </c>
      <c r="B3" s="4">
        <v>9.6900000000000007E-10</v>
      </c>
      <c r="C3" s="4">
        <v>1.8799999999999999E-7</v>
      </c>
      <c r="D3" s="4">
        <v>3.0400000000000002E-7</v>
      </c>
      <c r="E3" s="4">
        <v>3.6699999999999999E-7</v>
      </c>
      <c r="F3" s="4">
        <v>1.08E-6</v>
      </c>
      <c r="G3" s="4">
        <v>1.5999999999999999E-6</v>
      </c>
      <c r="H3" s="4">
        <v>2.3300000000000001E-6</v>
      </c>
    </row>
    <row r="4" spans="1:8" x14ac:dyDescent="0.35">
      <c r="A4" s="4">
        <v>4.1400000000000002E-10</v>
      </c>
      <c r="B4" s="4">
        <v>1.2300000000000001E-9</v>
      </c>
      <c r="C4" s="4">
        <v>1.98E-7</v>
      </c>
      <c r="D4" s="4">
        <v>3.2399999999999999E-7</v>
      </c>
      <c r="E4" s="4">
        <v>3.9400000000000001E-7</v>
      </c>
      <c r="F4" s="4">
        <v>1.17E-6</v>
      </c>
      <c r="G4" s="4">
        <v>1.75E-6</v>
      </c>
      <c r="H4" s="4">
        <v>2.5600000000000001E-6</v>
      </c>
    </row>
    <row r="5" spans="1:8" x14ac:dyDescent="0.35">
      <c r="A5" s="4">
        <v>5.2199999999999996E-10</v>
      </c>
      <c r="B5" s="4">
        <v>1.5400000000000001E-9</v>
      </c>
      <c r="C5" s="4">
        <v>2.0800000000000001E-7</v>
      </c>
      <c r="D5" s="4">
        <v>3.4499999999999998E-7</v>
      </c>
      <c r="E5" s="4">
        <v>4.2100000000000002E-7</v>
      </c>
      <c r="F5" s="4">
        <v>1.28E-6</v>
      </c>
      <c r="G5" s="4">
        <v>1.9199999999999998E-6</v>
      </c>
      <c r="H5" s="4">
        <v>2.8100000000000002E-6</v>
      </c>
    </row>
    <row r="6" spans="1:8" x14ac:dyDescent="0.35">
      <c r="A6" s="4">
        <v>6.5500000000000001E-10</v>
      </c>
      <c r="B6" s="4">
        <v>1.92E-9</v>
      </c>
      <c r="C6" s="4">
        <v>2.1799999999999999E-7</v>
      </c>
      <c r="D6" s="4">
        <v>3.6600000000000002E-7</v>
      </c>
      <c r="E6" s="4">
        <v>4.4799999999999999E-7</v>
      </c>
      <c r="F6" s="4">
        <v>1.39E-6</v>
      </c>
      <c r="G6" s="4">
        <v>2.0899999999999999E-6</v>
      </c>
      <c r="H6" s="4">
        <v>3.0800000000000002E-6</v>
      </c>
    </row>
    <row r="7" spans="1:8" x14ac:dyDescent="0.35">
      <c r="A7" s="4">
        <v>8.1599999999999997E-10</v>
      </c>
      <c r="B7" s="4">
        <v>2.3899999999999998E-9</v>
      </c>
      <c r="C7" s="4">
        <v>2.28E-7</v>
      </c>
      <c r="D7" s="4">
        <v>3.8700000000000001E-7</v>
      </c>
      <c r="E7" s="4">
        <v>4.7599999999999997E-7</v>
      </c>
      <c r="F7" s="4">
        <v>1.5099999999999999E-6</v>
      </c>
      <c r="G7" s="4">
        <v>2.2900000000000001E-6</v>
      </c>
      <c r="H7" s="4">
        <v>3.3799999999999998E-6</v>
      </c>
    </row>
    <row r="8" spans="1:8" x14ac:dyDescent="0.35">
      <c r="A8" s="4">
        <v>1.01E-9</v>
      </c>
      <c r="B8" s="4">
        <v>2.9400000000000002E-9</v>
      </c>
      <c r="C8" s="4">
        <v>2.3699999999999999E-7</v>
      </c>
      <c r="D8" s="4">
        <v>4.0699999999999998E-7</v>
      </c>
      <c r="E8" s="4">
        <v>5.0299999999999999E-7</v>
      </c>
      <c r="F8" s="4">
        <v>1.64E-6</v>
      </c>
      <c r="G8" s="4">
        <v>2.4899999999999999E-6</v>
      </c>
      <c r="H8" s="4">
        <v>3.7000000000000002E-6</v>
      </c>
    </row>
    <row r="9" spans="1:8" x14ac:dyDescent="0.35">
      <c r="A9" s="4">
        <v>1.25E-9</v>
      </c>
      <c r="B9" s="4">
        <v>3.6E-9</v>
      </c>
      <c r="C9" s="4">
        <v>2.4499999999999998E-7</v>
      </c>
      <c r="D9" s="4">
        <v>4.2599999999999998E-7</v>
      </c>
      <c r="E9" s="4">
        <v>5.3000000000000001E-7</v>
      </c>
      <c r="F9" s="4">
        <v>1.77E-6</v>
      </c>
      <c r="G9" s="4">
        <v>2.7099999999999999E-6</v>
      </c>
      <c r="H9" s="4">
        <v>4.0400000000000003E-6</v>
      </c>
    </row>
    <row r="10" spans="1:8" x14ac:dyDescent="0.35">
      <c r="A10" s="4">
        <v>1.5300000000000001E-9</v>
      </c>
      <c r="B10" s="4">
        <v>4.3899999999999999E-9</v>
      </c>
      <c r="C10" s="4">
        <v>2.53E-7</v>
      </c>
      <c r="D10" s="4">
        <v>4.4499999999999997E-7</v>
      </c>
      <c r="E10" s="4">
        <v>5.5700000000000002E-7</v>
      </c>
      <c r="F10" s="4">
        <v>1.9099999999999999E-6</v>
      </c>
      <c r="G10" s="4">
        <v>2.9399999999999998E-6</v>
      </c>
      <c r="H10" s="4">
        <v>4.4100000000000001E-6</v>
      </c>
    </row>
    <row r="11" spans="1:8" x14ac:dyDescent="0.35">
      <c r="A11" s="4">
        <v>1.87E-9</v>
      </c>
      <c r="B11" s="4">
        <v>5.3100000000000001E-9</v>
      </c>
      <c r="C11" s="4">
        <v>2.6E-7</v>
      </c>
      <c r="D11" s="4">
        <v>4.63E-7</v>
      </c>
      <c r="E11" s="4">
        <v>5.82E-7</v>
      </c>
      <c r="F11" s="4">
        <v>2.0600000000000002E-6</v>
      </c>
      <c r="G11" s="4">
        <v>3.19E-6</v>
      </c>
      <c r="H11" s="4">
        <v>4.7999999999999998E-6</v>
      </c>
    </row>
    <row r="12" spans="1:8" x14ac:dyDescent="0.35">
      <c r="A12" s="4">
        <v>2.2699999999999998E-9</v>
      </c>
      <c r="B12" s="4">
        <v>6.3700000000000001E-9</v>
      </c>
      <c r="C12" s="4">
        <v>2.67E-7</v>
      </c>
      <c r="D12" s="4">
        <v>4.7999999999999996E-7</v>
      </c>
      <c r="E12" s="4">
        <v>6.06E-7</v>
      </c>
      <c r="F12" s="4">
        <v>2.21E-6</v>
      </c>
      <c r="G12" s="4">
        <v>3.45E-6</v>
      </c>
      <c r="H12" s="4">
        <v>5.2299999999999999E-6</v>
      </c>
    </row>
    <row r="13" spans="1:8" x14ac:dyDescent="0.35">
      <c r="A13" s="4">
        <v>2.7400000000000001E-9</v>
      </c>
      <c r="B13" s="4">
        <v>7.61E-9</v>
      </c>
      <c r="C13" s="4">
        <v>2.7300000000000002E-7</v>
      </c>
      <c r="D13" s="4">
        <v>4.9599999999999999E-7</v>
      </c>
      <c r="E13" s="4">
        <v>6.2900000000000003E-7</v>
      </c>
      <c r="F13" s="4">
        <v>2.3599999999999999E-6</v>
      </c>
      <c r="G13" s="4">
        <v>3.72E-6</v>
      </c>
      <c r="H13" s="4">
        <v>5.6699999999999999E-6</v>
      </c>
    </row>
    <row r="14" spans="1:8" x14ac:dyDescent="0.35">
      <c r="A14" s="4">
        <v>3.29E-9</v>
      </c>
      <c r="B14" s="4">
        <v>9.0200000000000007E-9</v>
      </c>
      <c r="C14" s="4">
        <v>2.79E-7</v>
      </c>
      <c r="D14" s="4">
        <v>5.0999999999999999E-7</v>
      </c>
      <c r="E14" s="4">
        <v>6.5099999999999999E-7</v>
      </c>
      <c r="F14" s="4">
        <v>2.52E-6</v>
      </c>
      <c r="G14" s="4">
        <v>4.0099999999999997E-6</v>
      </c>
      <c r="H14" s="4">
        <v>6.1500000000000004E-6</v>
      </c>
    </row>
    <row r="15" spans="1:8" x14ac:dyDescent="0.35">
      <c r="A15" s="4">
        <v>3.94E-9</v>
      </c>
      <c r="B15" s="4">
        <v>1.0600000000000001E-8</v>
      </c>
      <c r="C15" s="4">
        <v>2.8500000000000002E-7</v>
      </c>
      <c r="D15" s="4">
        <v>5.2399999999999998E-7</v>
      </c>
      <c r="E15" s="4">
        <v>6.7000000000000004E-7</v>
      </c>
      <c r="F15" s="4">
        <v>2.6800000000000002E-6</v>
      </c>
      <c r="G15" s="4">
        <v>4.3000000000000003E-6</v>
      </c>
      <c r="H15" s="4">
        <v>6.6499999999999999E-6</v>
      </c>
    </row>
    <row r="16" spans="1:8" x14ac:dyDescent="0.35">
      <c r="A16" s="4">
        <v>4.6699999999999998E-9</v>
      </c>
      <c r="B16" s="4">
        <v>1.24E-8</v>
      </c>
      <c r="C16" s="4">
        <v>2.8999999999999998E-7</v>
      </c>
      <c r="D16" s="4">
        <v>5.3600000000000004E-7</v>
      </c>
      <c r="E16" s="4">
        <v>6.8899999999999999E-7</v>
      </c>
      <c r="F16" s="4">
        <v>2.8399999999999999E-6</v>
      </c>
      <c r="G16" s="4">
        <v>4.6099999999999999E-6</v>
      </c>
      <c r="H16" s="4">
        <v>7.1799999999999999E-6</v>
      </c>
    </row>
    <row r="17" spans="1:8" x14ac:dyDescent="0.35">
      <c r="A17" s="4">
        <v>5.52E-9</v>
      </c>
      <c r="B17" s="4">
        <v>1.44E-8</v>
      </c>
      <c r="C17" s="4">
        <v>2.9499999999999998E-7</v>
      </c>
      <c r="D17" s="4">
        <v>5.4700000000000001E-7</v>
      </c>
      <c r="E17" s="4">
        <v>7.0500000000000003E-7</v>
      </c>
      <c r="F17" s="4">
        <v>3.0000000000000001E-6</v>
      </c>
      <c r="G17" s="4">
        <v>4.9200000000000003E-6</v>
      </c>
      <c r="H17" s="4">
        <v>7.7400000000000004E-6</v>
      </c>
    </row>
    <row r="18" spans="1:8" x14ac:dyDescent="0.35">
      <c r="A18" s="4">
        <v>6.48E-9</v>
      </c>
      <c r="B18" s="4">
        <v>1.66E-8</v>
      </c>
      <c r="C18" s="4">
        <v>2.9999999999999999E-7</v>
      </c>
      <c r="D18" s="4">
        <v>5.5700000000000002E-7</v>
      </c>
      <c r="E18" s="4">
        <v>7.1999999999999999E-7</v>
      </c>
      <c r="F18" s="4">
        <v>3.1499999999999999E-6</v>
      </c>
      <c r="G18" s="4">
        <v>5.2399999999999998E-6</v>
      </c>
      <c r="H18" s="4">
        <v>8.3100000000000001E-6</v>
      </c>
    </row>
    <row r="19" spans="1:8" x14ac:dyDescent="0.35">
      <c r="A19" s="4">
        <v>7.5599999999999995E-9</v>
      </c>
      <c r="B19" s="4">
        <v>1.9099999999999999E-8</v>
      </c>
      <c r="C19" s="4">
        <v>3.0400000000000002E-7</v>
      </c>
      <c r="D19" s="4">
        <v>5.6599999999999996E-7</v>
      </c>
      <c r="E19" s="4">
        <v>7.3399999999999998E-7</v>
      </c>
      <c r="F19" s="4">
        <v>3.3000000000000002E-6</v>
      </c>
      <c r="G19" s="4">
        <v>5.5600000000000001E-6</v>
      </c>
      <c r="H19" s="4">
        <v>8.9099999999999994E-6</v>
      </c>
    </row>
    <row r="20" spans="1:8" x14ac:dyDescent="0.35">
      <c r="A20" s="4">
        <v>8.7700000000000001E-9</v>
      </c>
      <c r="B20" s="4">
        <v>2.1699999999999999E-8</v>
      </c>
      <c r="C20" s="4">
        <v>3.0899999999999997E-7</v>
      </c>
      <c r="D20" s="4">
        <v>5.7400000000000003E-7</v>
      </c>
      <c r="E20" s="4">
        <v>7.4600000000000004E-7</v>
      </c>
      <c r="F20" s="4">
        <v>3.45E-6</v>
      </c>
      <c r="G20" s="4">
        <v>5.8799999999999996E-6</v>
      </c>
      <c r="H20" s="4">
        <v>9.5200000000000003E-6</v>
      </c>
    </row>
    <row r="21" spans="1:8" x14ac:dyDescent="0.35">
      <c r="A21" s="4">
        <v>1.0099999999999999E-8</v>
      </c>
      <c r="B21" s="4">
        <v>2.4500000000000001E-8</v>
      </c>
      <c r="C21" s="4">
        <v>3.1399999999999998E-7</v>
      </c>
      <c r="D21" s="4">
        <v>5.8100000000000003E-7</v>
      </c>
      <c r="E21" s="4">
        <v>7.5700000000000002E-7</v>
      </c>
      <c r="F21" s="4">
        <v>3.5899999999999999E-6</v>
      </c>
      <c r="G21" s="4">
        <v>6.1999999999999999E-6</v>
      </c>
      <c r="H21" s="4">
        <v>1.0200000000000001E-5</v>
      </c>
    </row>
    <row r="22" spans="1:8" x14ac:dyDescent="0.35">
      <c r="A22" s="4">
        <v>1.15E-8</v>
      </c>
      <c r="B22" s="4">
        <v>2.7500000000000001E-8</v>
      </c>
      <c r="C22" s="4">
        <v>3.1899999999999998E-7</v>
      </c>
      <c r="D22" s="4">
        <v>5.8800000000000002E-7</v>
      </c>
      <c r="E22" s="4">
        <v>7.6599999999999995E-7</v>
      </c>
      <c r="F22" s="4">
        <v>3.7299999999999999E-6</v>
      </c>
      <c r="G22" s="4">
        <v>6.5100000000000004E-6</v>
      </c>
      <c r="H22" s="4">
        <v>1.08E-5</v>
      </c>
    </row>
    <row r="23" spans="1:8" x14ac:dyDescent="0.35">
      <c r="A23" s="4">
        <v>1.31E-8</v>
      </c>
      <c r="B23" s="4">
        <v>3.0699999999999997E-8</v>
      </c>
      <c r="C23" s="4">
        <v>3.2399999999999999E-7</v>
      </c>
      <c r="D23" s="4">
        <v>5.9500000000000002E-7</v>
      </c>
      <c r="E23" s="4">
        <v>7.7499999999999999E-7</v>
      </c>
      <c r="F23" s="4">
        <v>3.8500000000000004E-6</v>
      </c>
      <c r="G23" s="4">
        <v>6.8199999999999999E-6</v>
      </c>
      <c r="H23" s="4">
        <v>1.1399999999999999E-5</v>
      </c>
    </row>
    <row r="24" spans="1:8" x14ac:dyDescent="0.35">
      <c r="A24" s="4">
        <v>1.48E-8</v>
      </c>
      <c r="B24" s="4">
        <v>3.4E-8</v>
      </c>
      <c r="C24" s="4">
        <v>3.2899999999999999E-7</v>
      </c>
      <c r="D24" s="4">
        <v>6.0100000000000005E-7</v>
      </c>
      <c r="E24" s="4">
        <v>7.8400000000000003E-7</v>
      </c>
      <c r="F24" s="4">
        <v>3.9700000000000001E-6</v>
      </c>
      <c r="G24" s="4">
        <v>7.1099999999999997E-6</v>
      </c>
      <c r="H24" s="4">
        <v>1.2099999999999999E-5</v>
      </c>
    </row>
    <row r="25" spans="1:8" x14ac:dyDescent="0.35">
      <c r="A25" s="4">
        <v>1.66E-8</v>
      </c>
      <c r="B25" s="4">
        <v>3.7499999999999998E-8</v>
      </c>
      <c r="C25" s="4">
        <v>3.3500000000000002E-7</v>
      </c>
      <c r="D25" s="4">
        <v>6.0800000000000004E-7</v>
      </c>
      <c r="E25" s="4">
        <v>7.9100000000000003E-7</v>
      </c>
      <c r="F25" s="4">
        <v>4.07E-6</v>
      </c>
      <c r="G25" s="4">
        <v>7.3900000000000004E-6</v>
      </c>
      <c r="H25" s="4">
        <v>1.27E-5</v>
      </c>
    </row>
    <row r="26" spans="1:8" x14ac:dyDescent="0.35">
      <c r="A26" s="4">
        <v>1.8399999999999999E-8</v>
      </c>
      <c r="B26" s="4">
        <v>4.1000000000000003E-8</v>
      </c>
      <c r="C26" s="4">
        <v>3.3999999999999997E-7</v>
      </c>
      <c r="D26" s="4">
        <v>6.1399999999999997E-7</v>
      </c>
      <c r="E26" s="4">
        <v>7.9899999999999999E-7</v>
      </c>
      <c r="F26" s="4">
        <v>4.1699999999999999E-6</v>
      </c>
      <c r="G26" s="4">
        <v>7.6599999999999995E-6</v>
      </c>
      <c r="H26" s="4">
        <v>1.33E-5</v>
      </c>
    </row>
    <row r="27" spans="1:8" x14ac:dyDescent="0.35">
      <c r="A27" s="4">
        <v>2.03E-8</v>
      </c>
      <c r="B27" s="4">
        <v>4.4600000000000002E-8</v>
      </c>
      <c r="C27" s="4">
        <v>3.4700000000000002E-7</v>
      </c>
      <c r="D27" s="4">
        <v>6.1999999999999999E-7</v>
      </c>
      <c r="E27" s="4">
        <v>8.0599999999999999E-7</v>
      </c>
      <c r="F27" s="4">
        <v>4.25E-6</v>
      </c>
      <c r="G27" s="4">
        <v>7.9000000000000006E-6</v>
      </c>
      <c r="H27" s="4">
        <v>1.3900000000000001E-5</v>
      </c>
    </row>
    <row r="28" spans="1:8" x14ac:dyDescent="0.35">
      <c r="A28" s="4">
        <v>2.2300000000000001E-8</v>
      </c>
      <c r="B28" s="4">
        <v>4.8200000000000001E-8</v>
      </c>
      <c r="C28" s="4">
        <v>3.53E-7</v>
      </c>
      <c r="D28" s="4">
        <v>6.2600000000000002E-7</v>
      </c>
      <c r="E28" s="4">
        <v>8.1200000000000002E-7</v>
      </c>
      <c r="F28" s="4">
        <v>4.33E-6</v>
      </c>
      <c r="G28" s="4">
        <v>8.1300000000000001E-6</v>
      </c>
      <c r="H28" s="4">
        <v>1.45E-5</v>
      </c>
    </row>
    <row r="29" spans="1:8" x14ac:dyDescent="0.35">
      <c r="A29" s="4">
        <v>2.4200000000000002E-8</v>
      </c>
      <c r="B29" s="4">
        <v>5.1900000000000002E-8</v>
      </c>
      <c r="C29" s="4">
        <v>3.5999999999999999E-7</v>
      </c>
      <c r="D29" s="4">
        <v>6.3300000000000002E-7</v>
      </c>
      <c r="E29" s="4">
        <v>8.1900000000000001E-7</v>
      </c>
      <c r="F29" s="4">
        <v>4.4000000000000002E-6</v>
      </c>
      <c r="G29" s="4">
        <v>8.3399999999999998E-6</v>
      </c>
      <c r="H29" s="4">
        <v>1.5E-5</v>
      </c>
    </row>
    <row r="30" spans="1:8" x14ac:dyDescent="0.35">
      <c r="A30" s="4">
        <v>2.62E-8</v>
      </c>
      <c r="B30" s="4">
        <v>5.5500000000000001E-8</v>
      </c>
      <c r="C30" s="4">
        <v>3.6699999999999999E-7</v>
      </c>
      <c r="D30" s="4">
        <v>6.3900000000000004E-7</v>
      </c>
      <c r="E30" s="4">
        <v>8.2600000000000001E-7</v>
      </c>
      <c r="F30" s="4">
        <v>4.4599999999999996E-6</v>
      </c>
      <c r="G30" s="4">
        <v>8.5299999999999996E-6</v>
      </c>
      <c r="H30" s="4">
        <v>1.56E-5</v>
      </c>
    </row>
    <row r="31" spans="1:8" x14ac:dyDescent="0.35">
      <c r="A31" s="4">
        <v>2.8200000000000001E-8</v>
      </c>
      <c r="B31" s="4">
        <v>5.91E-8</v>
      </c>
      <c r="C31" s="4">
        <v>3.7399999999999999E-7</v>
      </c>
      <c r="D31" s="4">
        <v>6.4600000000000004E-7</v>
      </c>
      <c r="E31" s="4">
        <v>8.3300000000000001E-7</v>
      </c>
      <c r="F31" s="4">
        <v>4.51E-6</v>
      </c>
      <c r="G31" s="4">
        <v>8.6999999999999997E-6</v>
      </c>
      <c r="H31" s="4">
        <v>1.5999999999999999E-5</v>
      </c>
    </row>
    <row r="32" spans="1:8" x14ac:dyDescent="0.35">
      <c r="A32" s="4">
        <v>3.0099999999999998E-8</v>
      </c>
      <c r="B32" s="4">
        <v>6.2499999999999997E-8</v>
      </c>
      <c r="C32" s="4">
        <v>3.8099999999999998E-7</v>
      </c>
      <c r="D32" s="4">
        <v>6.5300000000000004E-7</v>
      </c>
      <c r="E32" s="4">
        <v>8.4E-7</v>
      </c>
      <c r="F32" s="4">
        <v>4.5600000000000004E-6</v>
      </c>
      <c r="G32" s="4">
        <v>8.85E-6</v>
      </c>
      <c r="H32" s="4">
        <v>1.6500000000000001E-5</v>
      </c>
    </row>
    <row r="33" spans="1:8" x14ac:dyDescent="0.35">
      <c r="A33" s="4">
        <v>3.1900000000000001E-8</v>
      </c>
      <c r="B33" s="4">
        <v>6.5900000000000001E-8</v>
      </c>
      <c r="C33" s="4">
        <v>3.89E-7</v>
      </c>
      <c r="D33" s="4">
        <v>6.61E-7</v>
      </c>
      <c r="E33" s="4">
        <v>8.4799999999999997E-7</v>
      </c>
      <c r="F33" s="4">
        <v>4.6E-6</v>
      </c>
      <c r="G33" s="4">
        <v>8.9800000000000004E-6</v>
      </c>
      <c r="H33" s="4">
        <v>1.6900000000000001E-5</v>
      </c>
    </row>
    <row r="34" spans="1:8" x14ac:dyDescent="0.35">
      <c r="A34" s="4">
        <v>3.3699999999999997E-8</v>
      </c>
      <c r="B34" s="4">
        <v>6.9100000000000003E-8</v>
      </c>
      <c r="C34" s="4">
        <v>3.96E-7</v>
      </c>
      <c r="D34" s="4">
        <v>6.68E-7</v>
      </c>
      <c r="E34" s="4">
        <v>8.5499999999999997E-7</v>
      </c>
      <c r="F34" s="4">
        <v>4.6299999999999997E-6</v>
      </c>
      <c r="G34" s="4">
        <v>9.0999999999999993E-6</v>
      </c>
      <c r="H34" s="4">
        <v>1.73E-5</v>
      </c>
    </row>
    <row r="35" spans="1:8" x14ac:dyDescent="0.35">
      <c r="A35" s="4">
        <v>3.5299999999999998E-8</v>
      </c>
      <c r="B35" s="4">
        <v>7.2199999999999998E-8</v>
      </c>
      <c r="C35" s="4">
        <v>4.0400000000000002E-7</v>
      </c>
      <c r="D35" s="4">
        <v>6.7599999999999997E-7</v>
      </c>
      <c r="E35" s="4">
        <v>8.6300000000000004E-7</v>
      </c>
      <c r="F35" s="4">
        <v>4.6600000000000003E-6</v>
      </c>
      <c r="G35" s="4">
        <v>9.2E-6</v>
      </c>
      <c r="H35" s="4">
        <v>1.7600000000000001E-5</v>
      </c>
    </row>
    <row r="36" spans="1:8" x14ac:dyDescent="0.35">
      <c r="A36" s="4">
        <v>3.69E-8</v>
      </c>
      <c r="B36" s="4">
        <v>7.4999999999999997E-8</v>
      </c>
      <c r="C36" s="4">
        <v>4.1100000000000001E-7</v>
      </c>
      <c r="D36" s="4">
        <v>6.8400000000000004E-7</v>
      </c>
      <c r="E36" s="4">
        <v>8.71E-7</v>
      </c>
      <c r="F36" s="4">
        <v>4.69E-6</v>
      </c>
      <c r="G36" s="4">
        <v>9.2900000000000008E-6</v>
      </c>
      <c r="H36" s="4">
        <v>1.7900000000000001E-5</v>
      </c>
    </row>
    <row r="37" spans="1:8" x14ac:dyDescent="0.35">
      <c r="A37" s="4">
        <v>3.84E-8</v>
      </c>
      <c r="B37" s="4">
        <v>7.7700000000000001E-8</v>
      </c>
      <c r="C37" s="4">
        <v>4.1899999999999998E-7</v>
      </c>
      <c r="D37" s="4">
        <v>6.92E-7</v>
      </c>
      <c r="E37" s="4">
        <v>8.7899999999999997E-7</v>
      </c>
      <c r="F37" s="4">
        <v>4.7099999999999998E-6</v>
      </c>
      <c r="G37" s="4">
        <v>9.3700000000000001E-6</v>
      </c>
      <c r="H37" s="4">
        <v>1.8099999999999999E-5</v>
      </c>
    </row>
    <row r="38" spans="1:8" x14ac:dyDescent="0.35">
      <c r="A38" s="4">
        <v>3.9699999999999998E-8</v>
      </c>
      <c r="B38" s="4">
        <v>8.0299999999999998E-8</v>
      </c>
      <c r="C38" s="4">
        <v>4.2599999999999998E-7</v>
      </c>
      <c r="D38" s="4">
        <v>6.9999999999999997E-7</v>
      </c>
      <c r="E38" s="4">
        <v>8.8700000000000004E-7</v>
      </c>
      <c r="F38" s="4">
        <v>4.7299999999999996E-6</v>
      </c>
      <c r="G38" s="4">
        <v>9.4299999999999995E-6</v>
      </c>
      <c r="H38" s="4">
        <v>1.84E-5</v>
      </c>
    </row>
    <row r="39" spans="1:8" x14ac:dyDescent="0.35">
      <c r="A39" s="4">
        <v>4.1000000000000003E-8</v>
      </c>
      <c r="B39" s="4">
        <v>8.2599999999999998E-8</v>
      </c>
      <c r="C39" s="4">
        <v>4.3300000000000003E-7</v>
      </c>
      <c r="D39" s="4">
        <v>7.0800000000000004E-7</v>
      </c>
      <c r="E39" s="4">
        <v>8.9500000000000001E-7</v>
      </c>
      <c r="F39" s="4">
        <v>4.7500000000000003E-6</v>
      </c>
      <c r="G39" s="4">
        <v>9.4900000000000006E-6</v>
      </c>
      <c r="H39" s="4">
        <v>1.8600000000000001E-5</v>
      </c>
    </row>
    <row r="40" spans="1:8" x14ac:dyDescent="0.35">
      <c r="A40" s="4">
        <v>4.21E-8</v>
      </c>
      <c r="B40" s="4">
        <v>8.4699999999999997E-8</v>
      </c>
      <c r="C40" s="4">
        <v>4.39E-7</v>
      </c>
      <c r="D40" s="4">
        <v>7.1600000000000001E-7</v>
      </c>
      <c r="E40" s="4">
        <v>9.0400000000000005E-7</v>
      </c>
      <c r="F40" s="4">
        <v>4.7700000000000001E-6</v>
      </c>
      <c r="G40" s="4">
        <v>9.5400000000000001E-6</v>
      </c>
      <c r="H40" s="4">
        <v>1.8700000000000001E-5</v>
      </c>
    </row>
    <row r="41" spans="1:8" x14ac:dyDescent="0.35">
      <c r="A41" s="4">
        <v>4.3100000000000002E-8</v>
      </c>
      <c r="B41" s="4">
        <v>8.6599999999999995E-8</v>
      </c>
      <c r="C41" s="4">
        <v>4.46E-7</v>
      </c>
      <c r="D41" s="4">
        <v>7.2399999999999997E-7</v>
      </c>
      <c r="E41" s="4">
        <v>9.1200000000000001E-7</v>
      </c>
      <c r="F41" s="4">
        <v>4.78E-6</v>
      </c>
      <c r="G41" s="4">
        <v>9.5899999999999997E-6</v>
      </c>
      <c r="H41" s="4">
        <v>1.8899999999999999E-5</v>
      </c>
    </row>
    <row r="42" spans="1:8" x14ac:dyDescent="0.35">
      <c r="A42" s="4">
        <v>4.3999999999999997E-8</v>
      </c>
      <c r="B42" s="4">
        <v>8.8399999999999997E-8</v>
      </c>
      <c r="C42" s="4">
        <v>4.5200000000000002E-7</v>
      </c>
      <c r="D42" s="4">
        <v>7.3099999999999997E-7</v>
      </c>
      <c r="E42" s="4">
        <v>9.1999999999999998E-7</v>
      </c>
      <c r="F42" s="4">
        <v>4.7999999999999998E-6</v>
      </c>
      <c r="G42" s="4">
        <v>9.6199999999999994E-6</v>
      </c>
      <c r="H42" s="4">
        <v>1.9000000000000001E-5</v>
      </c>
    </row>
    <row r="43" spans="1:8" x14ac:dyDescent="0.35">
      <c r="A43" s="4">
        <v>4.4799999999999997E-8</v>
      </c>
      <c r="B43" s="4">
        <v>8.9900000000000004E-8</v>
      </c>
      <c r="C43" s="4">
        <v>4.5699999999999998E-7</v>
      </c>
      <c r="D43" s="4">
        <v>7.3799999999999996E-7</v>
      </c>
      <c r="E43" s="4">
        <v>9.2800000000000005E-7</v>
      </c>
      <c r="F43" s="4">
        <v>4.8099999999999997E-6</v>
      </c>
      <c r="G43" s="4">
        <v>9.6600000000000007E-6</v>
      </c>
      <c r="H43" s="4">
        <v>1.91E-5</v>
      </c>
    </row>
    <row r="44" spans="1:8" x14ac:dyDescent="0.35">
      <c r="A44" s="4">
        <v>4.5599999999999998E-8</v>
      </c>
      <c r="B44" s="4">
        <v>9.1300000000000004E-8</v>
      </c>
      <c r="C44" s="4">
        <v>4.6199999999999998E-7</v>
      </c>
      <c r="D44" s="4">
        <v>7.4499999999999996E-7</v>
      </c>
      <c r="E44" s="4">
        <v>9.3500000000000005E-7</v>
      </c>
      <c r="F44" s="4">
        <v>4.8199999999999996E-6</v>
      </c>
      <c r="G44" s="4">
        <v>9.6900000000000004E-6</v>
      </c>
      <c r="H44" s="4">
        <v>1.9199999999999999E-5</v>
      </c>
    </row>
    <row r="45" spans="1:8" x14ac:dyDescent="0.35">
      <c r="A45" s="4">
        <v>4.6199999999999997E-8</v>
      </c>
      <c r="B45" s="4">
        <v>9.2500000000000001E-8</v>
      </c>
      <c r="C45" s="4">
        <v>4.6699999999999999E-7</v>
      </c>
      <c r="D45" s="4">
        <v>7.5099999999999999E-7</v>
      </c>
      <c r="E45" s="4">
        <v>9.4200000000000004E-7</v>
      </c>
      <c r="F45" s="4">
        <v>4.8400000000000002E-6</v>
      </c>
      <c r="G45" s="4">
        <v>9.7100000000000002E-6</v>
      </c>
      <c r="H45" s="4">
        <v>1.9300000000000002E-5</v>
      </c>
    </row>
    <row r="46" spans="1:8" x14ac:dyDescent="0.35">
      <c r="A46" s="4">
        <v>4.6800000000000002E-8</v>
      </c>
      <c r="B46" s="4">
        <v>9.3600000000000004E-8</v>
      </c>
      <c r="C46" s="4">
        <v>4.7100000000000002E-7</v>
      </c>
      <c r="D46" s="4">
        <v>7.5700000000000002E-7</v>
      </c>
      <c r="E46" s="4">
        <v>9.4900000000000004E-7</v>
      </c>
      <c r="F46" s="4">
        <v>4.8500000000000002E-6</v>
      </c>
      <c r="G46" s="4">
        <v>9.7399999999999999E-6</v>
      </c>
      <c r="H46" s="4">
        <v>1.9400000000000001E-5</v>
      </c>
    </row>
    <row r="47" spans="1:8" x14ac:dyDescent="0.35">
      <c r="A47" s="4">
        <v>4.9700000000000002E-8</v>
      </c>
      <c r="B47" s="4">
        <v>9.9400000000000003E-8</v>
      </c>
      <c r="C47" s="4"/>
      <c r="D47" s="4"/>
      <c r="F47" s="4"/>
      <c r="G47" s="4"/>
      <c r="H47" s="6">
        <v>2.0000000000000002E-5</v>
      </c>
    </row>
    <row r="48" spans="1:8" x14ac:dyDescent="0.35">
      <c r="A48" s="4">
        <v>4.9700000000000002E-8</v>
      </c>
      <c r="B48" s="4">
        <v>9.9499999999999998E-8</v>
      </c>
      <c r="C48" s="4"/>
      <c r="D48" s="4"/>
      <c r="F48" s="4"/>
      <c r="G48" s="4"/>
      <c r="H48" s="6">
        <v>2.0000000000000002E-5</v>
      </c>
    </row>
    <row r="49" spans="1:8" x14ac:dyDescent="0.35">
      <c r="A49" s="4">
        <v>4.9800000000000003E-8</v>
      </c>
      <c r="B49" s="4">
        <v>9.9499999999999998E-8</v>
      </c>
      <c r="C49" s="4"/>
      <c r="D49" s="4"/>
      <c r="F49" s="4"/>
      <c r="G49" s="4"/>
      <c r="H49" s="6">
        <v>2.0000000000000002E-5</v>
      </c>
    </row>
    <row r="50" spans="1:8" x14ac:dyDescent="0.35">
      <c r="A50" s="4">
        <v>4.9800000000000003E-8</v>
      </c>
      <c r="B50" s="4">
        <v>9.9600000000000005E-8</v>
      </c>
      <c r="C50" s="4"/>
      <c r="D50" s="4"/>
      <c r="F50" s="4"/>
      <c r="G50" s="4"/>
      <c r="H50" s="6">
        <v>2.0000000000000002E-5</v>
      </c>
    </row>
    <row r="51" spans="1:8" x14ac:dyDescent="0.35">
      <c r="A51" s="4">
        <v>4.9800000000000003E-8</v>
      </c>
      <c r="B51" s="4">
        <v>9.9600000000000005E-8</v>
      </c>
      <c r="C51" s="4"/>
      <c r="D51" s="4"/>
      <c r="F51" s="4"/>
      <c r="G51" s="4"/>
      <c r="H51" s="6">
        <v>2.0000000000000002E-5</v>
      </c>
    </row>
    <row r="52" spans="1:8" x14ac:dyDescent="0.35">
      <c r="A52" s="4">
        <v>4.9800000000000003E-8</v>
      </c>
      <c r="B52" s="4">
        <v>9.9600000000000005E-8</v>
      </c>
      <c r="C52" s="4"/>
      <c r="D52" s="4"/>
      <c r="F52" s="4"/>
      <c r="G52" s="4"/>
      <c r="H52" s="4">
        <v>2.0000000000000002E-5</v>
      </c>
    </row>
    <row r="53" spans="1:8" x14ac:dyDescent="0.35">
      <c r="A53" s="4">
        <v>4.9800000000000003E-8</v>
      </c>
      <c r="B53" s="4">
        <v>9.9600000000000005E-8</v>
      </c>
      <c r="C53" s="4"/>
      <c r="D53" s="4"/>
      <c r="F53" s="4"/>
      <c r="G53" s="4"/>
      <c r="H53" s="4">
        <v>2.0000000000000002E-5</v>
      </c>
    </row>
    <row r="54" spans="1:8" x14ac:dyDescent="0.35">
      <c r="A54" s="4">
        <v>4.9800000000000003E-8</v>
      </c>
      <c r="B54" s="4">
        <v>9.9600000000000005E-8</v>
      </c>
      <c r="C54" s="4"/>
      <c r="D54" s="4"/>
      <c r="F54" s="4"/>
      <c r="G54" s="4"/>
      <c r="H54" s="4">
        <v>2.0000000000000002E-5</v>
      </c>
    </row>
    <row r="55" spans="1:8" x14ac:dyDescent="0.35">
      <c r="A55" s="4">
        <v>4.9800000000000003E-8</v>
      </c>
      <c r="B55" s="4">
        <v>9.9600000000000005E-8</v>
      </c>
      <c r="C55" s="4"/>
      <c r="D55" s="4"/>
      <c r="F55" s="4"/>
      <c r="G55" s="4"/>
      <c r="H55" s="4">
        <v>2.0000000000000002E-5</v>
      </c>
    </row>
    <row r="56" spans="1:8" x14ac:dyDescent="0.35">
      <c r="A56" s="4">
        <v>4.9800000000000003E-8</v>
      </c>
      <c r="B56" s="4">
        <v>9.9600000000000005E-8</v>
      </c>
      <c r="C56" s="4"/>
      <c r="D56" s="4"/>
      <c r="F56" s="4"/>
      <c r="G56" s="4"/>
      <c r="H56" s="4">
        <v>2.0000000000000002E-5</v>
      </c>
    </row>
    <row r="57" spans="1:8" x14ac:dyDescent="0.35">
      <c r="A57" s="4">
        <v>4.9800000000000003E-8</v>
      </c>
      <c r="B57" s="4">
        <v>9.9600000000000005E-8</v>
      </c>
      <c r="C57" s="4"/>
      <c r="D57" s="4"/>
      <c r="F57" s="4"/>
      <c r="G57" s="4"/>
      <c r="H57" s="4">
        <v>2.0000000000000002E-5</v>
      </c>
    </row>
    <row r="58" spans="1:8" x14ac:dyDescent="0.35">
      <c r="A58" s="4">
        <v>4.9800000000000003E-8</v>
      </c>
      <c r="B58" s="4">
        <v>9.9600000000000005E-8</v>
      </c>
      <c r="C58" s="4"/>
      <c r="D58" s="4"/>
      <c r="F58" s="4"/>
      <c r="G58" s="4"/>
      <c r="H58" s="4">
        <v>2.0000000000000002E-5</v>
      </c>
    </row>
    <row r="59" spans="1:8" x14ac:dyDescent="0.35">
      <c r="A59" s="4">
        <v>4.9800000000000003E-8</v>
      </c>
      <c r="B59" s="4">
        <v>9.9600000000000005E-8</v>
      </c>
      <c r="C59" s="4"/>
      <c r="D59" s="4"/>
      <c r="F59" s="4"/>
      <c r="G59" s="4"/>
      <c r="H59" s="4">
        <v>2.0000000000000002E-5</v>
      </c>
    </row>
    <row r="60" spans="1:8" x14ac:dyDescent="0.35">
      <c r="A60" s="4">
        <v>4.9800000000000003E-8</v>
      </c>
      <c r="B60" s="4">
        <v>9.9600000000000005E-8</v>
      </c>
      <c r="C60" s="4"/>
      <c r="D60" s="4"/>
      <c r="F60" s="4"/>
      <c r="G60" s="4"/>
      <c r="H60" s="4">
        <v>2.0000000000000002E-5</v>
      </c>
    </row>
    <row r="61" spans="1:8" x14ac:dyDescent="0.35">
      <c r="A61" s="4">
        <v>4.9800000000000003E-8</v>
      </c>
      <c r="B61" s="4">
        <v>9.9600000000000005E-8</v>
      </c>
      <c r="C61" s="4"/>
      <c r="D61" s="4"/>
      <c r="F61" s="4"/>
      <c r="G61" s="4"/>
      <c r="H61" s="4">
        <v>2.0000000000000002E-5</v>
      </c>
    </row>
    <row r="62" spans="1:8" x14ac:dyDescent="0.35">
      <c r="A62" s="4">
        <v>4.9800000000000003E-8</v>
      </c>
      <c r="B62" s="4">
        <v>9.9600000000000005E-8</v>
      </c>
      <c r="C62" s="4"/>
      <c r="D62" s="4"/>
      <c r="F62" s="4"/>
      <c r="G62" s="4"/>
      <c r="H62" s="4">
        <v>2.0000000000000002E-5</v>
      </c>
    </row>
    <row r="63" spans="1:8" x14ac:dyDescent="0.35">
      <c r="A63" s="4">
        <v>4.9800000000000003E-8</v>
      </c>
      <c r="B63" s="4">
        <v>9.9600000000000005E-8</v>
      </c>
      <c r="C63" s="4"/>
      <c r="D63" s="4"/>
      <c r="F63" s="4"/>
      <c r="G63" s="4"/>
      <c r="H63" s="4">
        <v>2.0000000000000002E-5</v>
      </c>
    </row>
    <row r="64" spans="1:8" x14ac:dyDescent="0.35">
      <c r="A64" s="4">
        <v>4.9800000000000003E-8</v>
      </c>
      <c r="B64" s="4">
        <v>9.9600000000000005E-8</v>
      </c>
      <c r="C64" s="4"/>
      <c r="D64" s="4"/>
      <c r="F64" s="4"/>
      <c r="G64" s="4"/>
      <c r="H64" s="4">
        <v>2.0000000000000002E-5</v>
      </c>
    </row>
    <row r="65" spans="1:8" x14ac:dyDescent="0.35">
      <c r="A65" s="4">
        <v>4.9800000000000003E-8</v>
      </c>
      <c r="B65" s="4">
        <v>9.9600000000000005E-8</v>
      </c>
      <c r="C65" s="4"/>
      <c r="D65" s="4"/>
      <c r="F65" s="4"/>
      <c r="G65" s="4"/>
      <c r="H65" s="4">
        <v>2.0000000000000002E-5</v>
      </c>
    </row>
    <row r="66" spans="1:8" x14ac:dyDescent="0.35">
      <c r="A66" s="4">
        <v>4.9800000000000003E-8</v>
      </c>
      <c r="B66" s="4">
        <v>9.9600000000000005E-8</v>
      </c>
      <c r="C66" s="4"/>
      <c r="D66" s="4"/>
      <c r="F66" s="4"/>
      <c r="G66" s="4"/>
      <c r="H66" s="4">
        <v>2.0000000000000002E-5</v>
      </c>
    </row>
    <row r="67" spans="1:8" x14ac:dyDescent="0.35">
      <c r="A67" s="4">
        <v>4.9800000000000003E-8</v>
      </c>
      <c r="B67" s="4">
        <v>9.9600000000000005E-8</v>
      </c>
      <c r="C67" s="4"/>
      <c r="D67" s="4"/>
      <c r="F67" s="4"/>
      <c r="G67" s="4"/>
      <c r="H67" s="4">
        <v>2.0000000000000002E-5</v>
      </c>
    </row>
    <row r="68" spans="1:8" x14ac:dyDescent="0.35">
      <c r="A68" s="4">
        <v>4.9800000000000003E-8</v>
      </c>
      <c r="B68" s="4">
        <v>9.9600000000000005E-8</v>
      </c>
      <c r="C68" s="4"/>
      <c r="D68" s="4"/>
      <c r="F68" s="4"/>
      <c r="G68" s="4"/>
      <c r="H68" s="4">
        <v>2.0000000000000002E-5</v>
      </c>
    </row>
    <row r="69" spans="1:8" x14ac:dyDescent="0.35">
      <c r="A69" s="4">
        <v>4.9800000000000003E-8</v>
      </c>
      <c r="B69" s="4">
        <v>9.9600000000000005E-8</v>
      </c>
      <c r="C69" s="4"/>
      <c r="D69" s="4"/>
      <c r="F69" s="4"/>
      <c r="G69" s="4"/>
      <c r="H69" s="4">
        <v>2.0000000000000002E-5</v>
      </c>
    </row>
    <row r="70" spans="1:8" x14ac:dyDescent="0.35">
      <c r="A70" s="4">
        <v>4.9800000000000003E-8</v>
      </c>
      <c r="B70" s="4">
        <v>9.9600000000000005E-8</v>
      </c>
      <c r="C70" s="4"/>
      <c r="D70" s="4"/>
      <c r="F70" s="4"/>
      <c r="G70" s="4"/>
      <c r="H70" s="4">
        <v>2.0000000000000002E-5</v>
      </c>
    </row>
    <row r="71" spans="1:8" x14ac:dyDescent="0.35">
      <c r="A71" s="4">
        <v>4.9800000000000003E-8</v>
      </c>
      <c r="B71" s="4">
        <v>9.9600000000000005E-8</v>
      </c>
      <c r="C71" s="4"/>
      <c r="D71" s="4"/>
      <c r="F71" s="4"/>
      <c r="G71" s="4"/>
      <c r="H71" s="4">
        <v>2.0000000000000002E-5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8B46A-EEF8-4E2B-9E5D-2C7C572828F4}">
  <dimension ref="A1:H51"/>
  <sheetViews>
    <sheetView tabSelected="1" workbookViewId="0">
      <selection activeCell="K1" sqref="H1:K1048576"/>
    </sheetView>
  </sheetViews>
  <sheetFormatPr defaultRowHeight="14.5" x14ac:dyDescent="0.35"/>
  <sheetData>
    <row r="1" spans="1:8" x14ac:dyDescent="0.35">
      <c r="A1" s="4">
        <v>1.4999999999999999E-7</v>
      </c>
      <c r="B1" s="4">
        <v>1.01E-7</v>
      </c>
      <c r="C1" s="4">
        <v>7.19E-10</v>
      </c>
      <c r="D1" s="4">
        <v>4.5399999999999998E-10</v>
      </c>
      <c r="E1" s="4">
        <v>3.7899999999999998E-10</v>
      </c>
      <c r="F1" s="4">
        <v>1.34E-10</v>
      </c>
      <c r="G1" s="4">
        <v>9.0600000000000002E-11</v>
      </c>
      <c r="H1" s="4">
        <v>6.2399999999999999E-11</v>
      </c>
    </row>
    <row r="2" spans="1:8" x14ac:dyDescent="0.35">
      <c r="A2" s="4">
        <v>1.4999999999999999E-7</v>
      </c>
      <c r="B2" s="4">
        <v>1.01E-7</v>
      </c>
      <c r="C2" s="4">
        <v>8.69E-10</v>
      </c>
      <c r="D2" s="4">
        <v>5.4299999999999999E-10</v>
      </c>
      <c r="E2" s="4">
        <v>4.5199999999999999E-10</v>
      </c>
      <c r="F2" s="4">
        <v>1.57E-10</v>
      </c>
      <c r="G2" s="4">
        <v>1.06E-10</v>
      </c>
      <c r="H2" s="4">
        <v>7.2799999999999997E-11</v>
      </c>
    </row>
    <row r="3" spans="1:8" x14ac:dyDescent="0.35">
      <c r="A3" s="4">
        <v>1.4999999999999999E-7</v>
      </c>
      <c r="B3" s="4">
        <v>1.01E-7</v>
      </c>
      <c r="C3" s="4">
        <v>1.0500000000000001E-9</v>
      </c>
      <c r="D3" s="4">
        <v>6.4800000000000004E-10</v>
      </c>
      <c r="E3" s="4">
        <v>5.3700000000000001E-10</v>
      </c>
      <c r="F3" s="4">
        <v>1.8299999999999999E-10</v>
      </c>
      <c r="G3" s="4">
        <v>1.2400000000000001E-10</v>
      </c>
      <c r="H3" s="4">
        <v>8.4599999999999997E-11</v>
      </c>
    </row>
    <row r="4" spans="1:8" x14ac:dyDescent="0.35">
      <c r="A4" s="4">
        <v>1.4999999999999999E-7</v>
      </c>
      <c r="B4" s="4">
        <v>1.01E-7</v>
      </c>
      <c r="C4" s="4">
        <v>1.26E-9</v>
      </c>
      <c r="D4" s="4">
        <v>7.7200000000000002E-10</v>
      </c>
      <c r="E4" s="4">
        <v>6.3599999999999998E-10</v>
      </c>
      <c r="F4" s="4">
        <v>2.1299999999999999E-10</v>
      </c>
      <c r="G4" s="4">
        <v>1.43E-10</v>
      </c>
      <c r="H4" s="4">
        <v>9.7900000000000006E-11</v>
      </c>
    </row>
    <row r="5" spans="1:8" x14ac:dyDescent="0.35">
      <c r="A5" s="4">
        <v>1.5099999999999999E-7</v>
      </c>
      <c r="B5" s="4">
        <v>1.02E-7</v>
      </c>
      <c r="C5" s="4">
        <v>1.51E-9</v>
      </c>
      <c r="D5" s="4">
        <v>9.1600000000000004E-10</v>
      </c>
      <c r="E5" s="4">
        <v>7.5199999999999999E-10</v>
      </c>
      <c r="F5" s="4">
        <v>2.4800000000000002E-10</v>
      </c>
      <c r="G5" s="4">
        <v>1.66E-10</v>
      </c>
      <c r="H5" s="4">
        <v>1.13E-10</v>
      </c>
    </row>
    <row r="6" spans="1:8" x14ac:dyDescent="0.35">
      <c r="A6" s="4">
        <v>1.5099999999999999E-7</v>
      </c>
      <c r="B6" s="4">
        <v>1.02E-7</v>
      </c>
      <c r="C6" s="4">
        <v>1.8199999999999999E-9</v>
      </c>
      <c r="D6" s="4">
        <v>1.09E-9</v>
      </c>
      <c r="E6" s="4">
        <v>8.8800000000000004E-10</v>
      </c>
      <c r="F6" s="4">
        <v>2.8599999999999999E-10</v>
      </c>
      <c r="G6" s="4">
        <v>1.9100000000000001E-10</v>
      </c>
      <c r="H6" s="4">
        <v>1.2899999999999999E-10</v>
      </c>
    </row>
    <row r="7" spans="1:8" x14ac:dyDescent="0.35">
      <c r="A7" s="4">
        <v>1.5099999999999999E-7</v>
      </c>
      <c r="B7" s="4">
        <v>1.02E-7</v>
      </c>
      <c r="C7" s="4">
        <v>2.1799999999999999E-9</v>
      </c>
      <c r="D7" s="4">
        <v>1.2900000000000001E-9</v>
      </c>
      <c r="E7" s="4">
        <v>1.0500000000000001E-9</v>
      </c>
      <c r="F7" s="4">
        <v>3.3E-10</v>
      </c>
      <c r="G7" s="4">
        <v>2.1899999999999999E-10</v>
      </c>
      <c r="H7" s="4">
        <v>1.4800000000000001E-10</v>
      </c>
    </row>
    <row r="8" spans="1:8" x14ac:dyDescent="0.35">
      <c r="A8" s="4">
        <v>1.5099999999999999E-7</v>
      </c>
      <c r="B8" s="4">
        <v>1.03E-7</v>
      </c>
      <c r="C8" s="4">
        <v>2.6000000000000001E-9</v>
      </c>
      <c r="D8" s="4">
        <v>1.5199999999999999E-9</v>
      </c>
      <c r="E8" s="4">
        <v>1.2300000000000001E-9</v>
      </c>
      <c r="F8" s="4">
        <v>3.7999999999999998E-10</v>
      </c>
      <c r="G8" s="4">
        <v>2.5000000000000002E-10</v>
      </c>
      <c r="H8" s="4">
        <v>1.6799999999999999E-10</v>
      </c>
    </row>
    <row r="9" spans="1:8" x14ac:dyDescent="0.35">
      <c r="A9" s="4">
        <v>1.5099999999999999E-7</v>
      </c>
      <c r="B9" s="4">
        <v>1.04E-7</v>
      </c>
      <c r="C9" s="4">
        <v>3.1099999999999998E-9</v>
      </c>
      <c r="D9" s="4">
        <v>1.8E-9</v>
      </c>
      <c r="E9" s="4">
        <v>1.45E-9</v>
      </c>
      <c r="F9" s="4">
        <v>4.3599999999999999E-10</v>
      </c>
      <c r="G9" s="4">
        <v>2.85E-10</v>
      </c>
      <c r="H9" s="4">
        <v>1.9100000000000001E-10</v>
      </c>
    </row>
    <row r="10" spans="1:8" x14ac:dyDescent="0.35">
      <c r="A10" s="4">
        <v>1.5200000000000001E-7</v>
      </c>
      <c r="B10" s="4">
        <v>1.04E-7</v>
      </c>
      <c r="C10" s="4">
        <v>3.72E-9</v>
      </c>
      <c r="D10" s="4">
        <v>2.1299999999999999E-9</v>
      </c>
      <c r="E10" s="4">
        <v>1.7100000000000001E-9</v>
      </c>
      <c r="F10" s="4">
        <v>5.0000000000000003E-10</v>
      </c>
      <c r="G10" s="4">
        <v>3.2500000000000002E-10</v>
      </c>
      <c r="H10" s="4">
        <v>2.17E-10</v>
      </c>
    </row>
    <row r="11" spans="1:8" x14ac:dyDescent="0.35">
      <c r="A11" s="4">
        <v>1.5200000000000001E-7</v>
      </c>
      <c r="B11" s="4">
        <v>1.05E-7</v>
      </c>
      <c r="C11" s="4">
        <v>4.4299999999999998E-9</v>
      </c>
      <c r="D11" s="4">
        <v>2.52E-9</v>
      </c>
      <c r="E11" s="4">
        <v>2.0099999999999999E-9</v>
      </c>
      <c r="F11" s="4">
        <v>5.7199999999999999E-10</v>
      </c>
      <c r="G11" s="4">
        <v>3.6900000000000002E-10</v>
      </c>
      <c r="H11" s="4">
        <v>2.4499999999999998E-10</v>
      </c>
    </row>
    <row r="12" spans="1:8" x14ac:dyDescent="0.35">
      <c r="A12" s="4">
        <v>1.5200000000000001E-7</v>
      </c>
      <c r="B12" s="4">
        <v>1.06E-7</v>
      </c>
      <c r="C12" s="4">
        <v>5.28E-9</v>
      </c>
      <c r="D12" s="4">
        <v>2.9699999999999999E-9</v>
      </c>
      <c r="E12" s="4">
        <v>2.3600000000000001E-9</v>
      </c>
      <c r="F12" s="4">
        <v>6.5400000000000002E-10</v>
      </c>
      <c r="G12" s="4">
        <v>4.19E-10</v>
      </c>
      <c r="H12" s="4">
        <v>2.7599999999999998E-10</v>
      </c>
    </row>
    <row r="13" spans="1:8" x14ac:dyDescent="0.35">
      <c r="A13" s="4">
        <v>1.5300000000000001E-7</v>
      </c>
      <c r="B13" s="4">
        <v>1.08E-7</v>
      </c>
      <c r="C13" s="4">
        <v>6.2799999999999998E-9</v>
      </c>
      <c r="D13" s="4">
        <v>3.5100000000000001E-9</v>
      </c>
      <c r="E13" s="4">
        <v>2.7799999999999999E-9</v>
      </c>
      <c r="F13" s="4">
        <v>7.48E-10</v>
      </c>
      <c r="G13" s="4">
        <v>4.7400000000000002E-10</v>
      </c>
      <c r="H13" s="4">
        <v>3.1100000000000001E-10</v>
      </c>
    </row>
    <row r="14" spans="1:8" x14ac:dyDescent="0.35">
      <c r="A14" s="4">
        <v>1.5300000000000001E-7</v>
      </c>
      <c r="B14" s="4">
        <v>1.09E-7</v>
      </c>
      <c r="C14" s="4">
        <v>7.4499999999999997E-9</v>
      </c>
      <c r="D14" s="4">
        <v>4.1499999999999999E-9</v>
      </c>
      <c r="E14" s="4">
        <v>3.2700000000000001E-9</v>
      </c>
      <c r="F14" s="4">
        <v>8.5500000000000005E-10</v>
      </c>
      <c r="G14" s="4">
        <v>5.3700000000000001E-10</v>
      </c>
      <c r="H14" s="4">
        <v>3.4999999999999998E-10</v>
      </c>
    </row>
    <row r="15" spans="1:8" x14ac:dyDescent="0.35">
      <c r="A15" s="4">
        <v>1.54E-7</v>
      </c>
      <c r="B15" s="4">
        <v>1.11E-7</v>
      </c>
      <c r="C15" s="4">
        <v>8.8300000000000003E-9</v>
      </c>
      <c r="D15" s="4">
        <v>4.9E-9</v>
      </c>
      <c r="E15" s="4">
        <v>3.8499999999999997E-9</v>
      </c>
      <c r="F15" s="4">
        <v>9.7700000000000004E-10</v>
      </c>
      <c r="G15" s="4">
        <v>6.0799999999999997E-10</v>
      </c>
      <c r="H15" s="4">
        <v>3.9399999999999998E-10</v>
      </c>
    </row>
    <row r="16" spans="1:8" x14ac:dyDescent="0.35">
      <c r="A16" s="4">
        <v>1.55E-7</v>
      </c>
      <c r="B16" s="4">
        <v>1.12E-7</v>
      </c>
      <c r="C16" s="4">
        <v>1.04E-8</v>
      </c>
      <c r="D16" s="4">
        <v>5.7800000000000003E-9</v>
      </c>
      <c r="E16" s="4">
        <v>4.5299999999999999E-9</v>
      </c>
      <c r="F16" s="4">
        <v>1.1200000000000001E-9</v>
      </c>
      <c r="G16" s="4">
        <v>6.89E-10</v>
      </c>
      <c r="H16" s="4">
        <v>4.4200000000000002E-10</v>
      </c>
    </row>
    <row r="17" spans="1:8" x14ac:dyDescent="0.35">
      <c r="A17" s="4">
        <v>1.5599999999999999E-7</v>
      </c>
      <c r="B17" s="4">
        <v>1.14E-7</v>
      </c>
      <c r="C17" s="4">
        <v>1.2299999999999999E-8</v>
      </c>
      <c r="D17" s="4">
        <v>6.82E-9</v>
      </c>
      <c r="E17" s="4">
        <v>5.3300000000000004E-9</v>
      </c>
      <c r="F17" s="4">
        <v>1.2799999999999999E-9</v>
      </c>
      <c r="G17" s="4">
        <v>7.7999999999999999E-10</v>
      </c>
      <c r="H17" s="4">
        <v>4.9700000000000004E-10</v>
      </c>
    </row>
    <row r="18" spans="1:8" x14ac:dyDescent="0.35">
      <c r="A18" s="4">
        <v>1.5599999999999999E-7</v>
      </c>
      <c r="B18" s="4">
        <v>1.17E-7</v>
      </c>
      <c r="C18" s="4">
        <v>1.44E-8</v>
      </c>
      <c r="D18" s="4">
        <v>8.0399999999999995E-9</v>
      </c>
      <c r="E18" s="4">
        <v>6.2700000000000001E-9</v>
      </c>
      <c r="F18" s="4">
        <v>1.4700000000000001E-9</v>
      </c>
      <c r="G18" s="4">
        <v>8.8400000000000005E-10</v>
      </c>
      <c r="H18" s="4">
        <v>5.5800000000000004E-10</v>
      </c>
    </row>
    <row r="19" spans="1:8" x14ac:dyDescent="0.35">
      <c r="A19" s="4">
        <v>1.5800000000000001E-7</v>
      </c>
      <c r="B19" s="4">
        <v>1.1899999999999999E-7</v>
      </c>
      <c r="C19" s="4">
        <v>1.6899999999999999E-8</v>
      </c>
      <c r="D19" s="4">
        <v>9.46E-9</v>
      </c>
      <c r="E19" s="4">
        <v>7.37E-9</v>
      </c>
      <c r="F19" s="4">
        <v>1.68E-9</v>
      </c>
      <c r="G19" s="4">
        <v>1.0000000000000001E-9</v>
      </c>
      <c r="H19" s="4">
        <v>6.2700000000000001E-10</v>
      </c>
    </row>
    <row r="20" spans="1:8" x14ac:dyDescent="0.35">
      <c r="A20" s="4">
        <v>1.5900000000000001E-7</v>
      </c>
      <c r="B20" s="4">
        <v>1.2200000000000001E-7</v>
      </c>
      <c r="C20" s="4">
        <v>1.9700000000000001E-8</v>
      </c>
      <c r="D20" s="4">
        <v>1.11E-8</v>
      </c>
      <c r="E20" s="4">
        <v>8.6599999999999995E-9</v>
      </c>
      <c r="F20" s="4">
        <v>1.9300000000000002E-9</v>
      </c>
      <c r="G20" s="4">
        <v>1.14E-9</v>
      </c>
      <c r="H20" s="4">
        <v>7.0500000000000005E-10</v>
      </c>
    </row>
    <row r="21" spans="1:8" x14ac:dyDescent="0.35">
      <c r="A21" s="4">
        <v>1.6E-7</v>
      </c>
      <c r="B21" s="4">
        <v>1.2499999999999999E-7</v>
      </c>
      <c r="C21" s="4">
        <v>2.29E-8</v>
      </c>
      <c r="D21" s="4">
        <v>1.3000000000000001E-8</v>
      </c>
      <c r="E21" s="4">
        <v>1.02E-8</v>
      </c>
      <c r="F21" s="4">
        <v>2.23E-9</v>
      </c>
      <c r="G21" s="4">
        <v>1.3000000000000001E-9</v>
      </c>
      <c r="H21" s="4">
        <v>7.9299999999999995E-10</v>
      </c>
    </row>
    <row r="22" spans="1:8" x14ac:dyDescent="0.35">
      <c r="A22" s="4">
        <v>1.6199999999999999E-7</v>
      </c>
      <c r="B22" s="4">
        <v>1.2800000000000001E-7</v>
      </c>
      <c r="C22" s="4">
        <v>2.6400000000000001E-8</v>
      </c>
      <c r="D22" s="4">
        <v>1.52E-8</v>
      </c>
      <c r="E22" s="4">
        <v>1.1900000000000001E-8</v>
      </c>
      <c r="F22" s="4">
        <v>2.57E-9</v>
      </c>
      <c r="G22" s="4">
        <v>1.4800000000000001E-9</v>
      </c>
      <c r="H22" s="4">
        <v>8.9300000000000002E-10</v>
      </c>
    </row>
    <row r="23" spans="1:8" x14ac:dyDescent="0.35">
      <c r="A23" s="4">
        <v>1.6299999999999999E-7</v>
      </c>
      <c r="B23" s="4">
        <v>1.31E-7</v>
      </c>
      <c r="C23" s="4">
        <v>3.0400000000000001E-8</v>
      </c>
      <c r="D23" s="4">
        <v>1.7800000000000001E-8</v>
      </c>
      <c r="E23" s="4">
        <v>1.39E-8</v>
      </c>
      <c r="F23" s="4">
        <v>2.9600000000000001E-9</v>
      </c>
      <c r="G23" s="4">
        <v>1.68E-9</v>
      </c>
      <c r="H23" s="4">
        <v>1.01E-9</v>
      </c>
    </row>
    <row r="24" spans="1:8" x14ac:dyDescent="0.35">
      <c r="A24" s="4">
        <v>1.6500000000000001E-7</v>
      </c>
      <c r="B24" s="4">
        <v>1.3400000000000001E-7</v>
      </c>
      <c r="C24" s="4">
        <v>3.4800000000000001E-8</v>
      </c>
      <c r="D24" s="4">
        <v>2.0599999999999999E-8</v>
      </c>
      <c r="E24" s="4">
        <v>1.6199999999999999E-8</v>
      </c>
      <c r="F24" s="4">
        <v>3.4299999999999999E-9</v>
      </c>
      <c r="G24" s="4">
        <v>1.92E-9</v>
      </c>
      <c r="H24" s="4">
        <v>1.14E-9</v>
      </c>
    </row>
    <row r="25" spans="1:8" x14ac:dyDescent="0.35">
      <c r="A25" s="4">
        <v>1.67E-7</v>
      </c>
      <c r="B25" s="4">
        <v>1.3799999999999999E-7</v>
      </c>
      <c r="C25" s="4">
        <v>3.9500000000000003E-8</v>
      </c>
      <c r="D25" s="4">
        <v>2.3899999999999999E-8</v>
      </c>
      <c r="E25" s="4">
        <v>1.89E-8</v>
      </c>
      <c r="F25" s="4">
        <v>3.9700000000000001E-9</v>
      </c>
      <c r="G25" s="4">
        <v>2.1999999999999998E-9</v>
      </c>
      <c r="H25" s="4">
        <v>1.2900000000000001E-9</v>
      </c>
    </row>
    <row r="26" spans="1:8" x14ac:dyDescent="0.35">
      <c r="A26" s="4">
        <v>1.68E-7</v>
      </c>
      <c r="B26" s="4">
        <v>1.4100000000000001E-7</v>
      </c>
      <c r="C26" s="4">
        <v>4.4700000000000003E-8</v>
      </c>
      <c r="D26" s="4">
        <v>2.7599999999999999E-8</v>
      </c>
      <c r="E26" s="4">
        <v>2.1900000000000001E-8</v>
      </c>
      <c r="F26" s="4">
        <v>4.5999999999999998E-9</v>
      </c>
      <c r="G26" s="4">
        <v>2.5300000000000002E-9</v>
      </c>
      <c r="H26" s="4">
        <v>1.4599999999999999E-9</v>
      </c>
    </row>
    <row r="27" spans="1:8" x14ac:dyDescent="0.35">
      <c r="A27" s="4">
        <v>1.6999999999999999E-7</v>
      </c>
      <c r="B27" s="4">
        <v>1.4499999999999999E-7</v>
      </c>
      <c r="C27" s="4">
        <v>5.03E-8</v>
      </c>
      <c r="D27" s="4">
        <v>3.1699999999999999E-8</v>
      </c>
      <c r="E27" s="4">
        <v>2.5300000000000002E-8</v>
      </c>
      <c r="F27" s="4">
        <v>5.3300000000000004E-9</v>
      </c>
      <c r="G27" s="4">
        <v>2.8999999999999999E-9</v>
      </c>
      <c r="H27" s="4">
        <v>1.6600000000000001E-9</v>
      </c>
    </row>
    <row r="28" spans="1:8" x14ac:dyDescent="0.35">
      <c r="A28" s="4">
        <v>1.72E-7</v>
      </c>
      <c r="B28" s="4">
        <v>1.48E-7</v>
      </c>
      <c r="C28" s="4">
        <v>5.6300000000000001E-8</v>
      </c>
      <c r="D28" s="4">
        <v>3.62E-8</v>
      </c>
      <c r="E28" s="4">
        <v>2.9099999999999999E-8</v>
      </c>
      <c r="F28" s="4">
        <v>6.1900000000000003E-9</v>
      </c>
      <c r="G28" s="4">
        <v>3.34E-9</v>
      </c>
      <c r="H28" s="4">
        <v>1.8899999999999999E-9</v>
      </c>
    </row>
    <row r="29" spans="1:8" x14ac:dyDescent="0.35">
      <c r="A29" s="4">
        <v>1.74E-7</v>
      </c>
      <c r="B29" s="4">
        <v>1.5200000000000001E-7</v>
      </c>
      <c r="C29" s="4">
        <v>6.2600000000000005E-8</v>
      </c>
      <c r="D29" s="4">
        <v>4.1199999999999998E-8</v>
      </c>
      <c r="E29" s="4">
        <v>3.3400000000000001E-8</v>
      </c>
      <c r="F29" s="4">
        <v>7.1900000000000002E-9</v>
      </c>
      <c r="G29" s="4">
        <v>3.8499999999999997E-9</v>
      </c>
      <c r="H29" s="4">
        <v>2.1499999999999998E-9</v>
      </c>
    </row>
    <row r="30" spans="1:8" x14ac:dyDescent="0.35">
      <c r="A30" s="4">
        <v>1.7599999999999999E-7</v>
      </c>
      <c r="B30" s="4">
        <v>1.5599999999999999E-7</v>
      </c>
      <c r="C30" s="4">
        <v>6.9199999999999998E-8</v>
      </c>
      <c r="D30" s="4">
        <v>4.66E-8</v>
      </c>
      <c r="E30" s="4">
        <v>3.8099999999999997E-8</v>
      </c>
      <c r="F30" s="4">
        <v>8.3400000000000006E-9</v>
      </c>
      <c r="G30" s="4">
        <v>4.4500000000000001E-9</v>
      </c>
      <c r="H30" s="4">
        <v>2.4600000000000002E-9</v>
      </c>
    </row>
    <row r="31" spans="1:8" x14ac:dyDescent="0.35">
      <c r="A31" s="4">
        <v>1.7800000000000001E-7</v>
      </c>
      <c r="B31" s="4">
        <v>1.5900000000000001E-7</v>
      </c>
      <c r="C31" s="4">
        <v>7.61E-8</v>
      </c>
      <c r="D31" s="4">
        <v>5.25E-8</v>
      </c>
      <c r="E31" s="4">
        <v>4.3200000000000003E-8</v>
      </c>
      <c r="F31" s="4">
        <v>9.6899999999999994E-9</v>
      </c>
      <c r="G31" s="4">
        <v>5.14E-9</v>
      </c>
      <c r="H31" s="4">
        <v>2.8200000000000002E-9</v>
      </c>
    </row>
    <row r="32" spans="1:8" x14ac:dyDescent="0.35">
      <c r="A32" s="4">
        <v>1.8E-7</v>
      </c>
      <c r="B32" s="4">
        <v>1.6299999999999999E-7</v>
      </c>
      <c r="C32" s="4">
        <v>8.3200000000000004E-8</v>
      </c>
      <c r="D32" s="4">
        <v>5.8700000000000003E-8</v>
      </c>
      <c r="E32" s="4">
        <v>4.8900000000000001E-8</v>
      </c>
      <c r="F32" s="4">
        <v>1.1199999999999999E-8</v>
      </c>
      <c r="G32" s="4">
        <v>5.9500000000000003E-9</v>
      </c>
      <c r="H32" s="4">
        <v>3.24E-9</v>
      </c>
    </row>
    <row r="33" spans="1:8" x14ac:dyDescent="0.35">
      <c r="A33" s="4">
        <v>1.8199999999999999E-7</v>
      </c>
      <c r="B33" s="4">
        <v>1.66E-7</v>
      </c>
      <c r="C33" s="4">
        <v>9.0400000000000002E-8</v>
      </c>
      <c r="D33" s="4">
        <v>6.5400000000000003E-8</v>
      </c>
      <c r="E33" s="4">
        <v>5.4900000000000002E-8</v>
      </c>
      <c r="F33" s="4">
        <v>1.3000000000000001E-8</v>
      </c>
      <c r="G33" s="4">
        <v>6.89E-9</v>
      </c>
      <c r="H33" s="4">
        <v>3.72E-9</v>
      </c>
    </row>
    <row r="34" spans="1:8" x14ac:dyDescent="0.35">
      <c r="A34" s="4">
        <v>1.8400000000000001E-7</v>
      </c>
      <c r="B34" s="4">
        <v>1.6899999999999999E-7</v>
      </c>
      <c r="C34" s="4">
        <v>9.7699999999999995E-8</v>
      </c>
      <c r="D34" s="4">
        <v>7.2300000000000006E-8</v>
      </c>
      <c r="E34" s="4">
        <v>6.1399999999999994E-8</v>
      </c>
      <c r="F34" s="4">
        <v>1.51E-8</v>
      </c>
      <c r="G34" s="4">
        <v>7.9799999999999993E-9</v>
      </c>
      <c r="H34" s="4">
        <v>4.2899999999999999E-9</v>
      </c>
    </row>
    <row r="35" spans="1:8" x14ac:dyDescent="0.35">
      <c r="A35" s="4">
        <v>1.85E-7</v>
      </c>
      <c r="B35" s="4">
        <v>1.72E-7</v>
      </c>
      <c r="C35" s="4">
        <v>1.05E-7</v>
      </c>
      <c r="D35" s="4">
        <v>7.9599999999999998E-8</v>
      </c>
      <c r="E35" s="4">
        <v>6.8200000000000002E-8</v>
      </c>
      <c r="F35" s="4">
        <v>1.7500000000000001E-8</v>
      </c>
      <c r="G35" s="4">
        <v>9.2500000000000001E-9</v>
      </c>
      <c r="H35" s="4">
        <v>4.9499999999999997E-9</v>
      </c>
    </row>
    <row r="36" spans="1:8" x14ac:dyDescent="0.35">
      <c r="A36" s="4">
        <v>1.8699999999999999E-7</v>
      </c>
      <c r="B36" s="4">
        <v>1.7499999999999999E-7</v>
      </c>
      <c r="C36" s="4">
        <v>1.12E-7</v>
      </c>
      <c r="D36" s="4">
        <v>8.6999999999999998E-8</v>
      </c>
      <c r="E36" s="4">
        <v>7.54E-8</v>
      </c>
      <c r="F36" s="4">
        <v>2.0199999999999999E-8</v>
      </c>
      <c r="G36" s="4">
        <v>1.07E-8</v>
      </c>
      <c r="H36" s="4">
        <v>5.7200000000000001E-9</v>
      </c>
    </row>
    <row r="37" spans="1:8" x14ac:dyDescent="0.35">
      <c r="A37" s="4">
        <v>1.8799999999999999E-7</v>
      </c>
      <c r="B37" s="4">
        <v>1.7800000000000001E-7</v>
      </c>
      <c r="C37" s="4">
        <v>1.1999999999999999E-7</v>
      </c>
      <c r="D37" s="4">
        <v>9.46E-8</v>
      </c>
      <c r="E37" s="4">
        <v>8.2899999999999995E-8</v>
      </c>
      <c r="F37" s="4">
        <v>2.33E-8</v>
      </c>
      <c r="G37" s="4">
        <v>1.24E-8</v>
      </c>
      <c r="H37" s="4">
        <v>6.6199999999999999E-9</v>
      </c>
    </row>
    <row r="38" spans="1:8" x14ac:dyDescent="0.35">
      <c r="A38" s="4">
        <v>1.9000000000000001E-7</v>
      </c>
      <c r="B38" s="4">
        <v>1.8E-7</v>
      </c>
      <c r="C38" s="4">
        <v>1.2700000000000001E-7</v>
      </c>
      <c r="D38" s="4">
        <v>1.02E-7</v>
      </c>
      <c r="E38" s="4">
        <v>9.0499999999999996E-8</v>
      </c>
      <c r="F38" s="4">
        <v>2.6799999999999998E-8</v>
      </c>
      <c r="G38" s="4">
        <v>1.44E-8</v>
      </c>
      <c r="H38" s="4">
        <v>7.6700000000000002E-9</v>
      </c>
    </row>
    <row r="39" spans="1:8" x14ac:dyDescent="0.35">
      <c r="A39" s="4">
        <v>1.91E-7</v>
      </c>
      <c r="B39" s="4">
        <v>1.8300000000000001E-7</v>
      </c>
      <c r="C39" s="4">
        <v>1.3300000000000001E-7</v>
      </c>
      <c r="D39" s="4">
        <v>1.1000000000000001E-7</v>
      </c>
      <c r="E39" s="4">
        <v>9.83E-8</v>
      </c>
      <c r="F39" s="4">
        <v>3.0799999999999998E-8</v>
      </c>
      <c r="G39" s="4">
        <v>1.6700000000000001E-8</v>
      </c>
      <c r="H39" s="4">
        <v>8.9000000000000003E-9</v>
      </c>
    </row>
    <row r="40" spans="1:8" x14ac:dyDescent="0.35">
      <c r="A40" s="4">
        <v>1.92E-7</v>
      </c>
      <c r="B40" s="4">
        <v>1.85E-7</v>
      </c>
      <c r="C40" s="4">
        <v>1.4000000000000001E-7</v>
      </c>
      <c r="D40" s="4">
        <v>1.18E-7</v>
      </c>
      <c r="E40" s="4">
        <v>1.06E-7</v>
      </c>
      <c r="F40" s="4">
        <v>3.5299999999999998E-8</v>
      </c>
      <c r="G40" s="4">
        <v>1.9300000000000001E-8</v>
      </c>
      <c r="H40" s="4">
        <v>1.03E-8</v>
      </c>
    </row>
    <row r="41" spans="1:8" x14ac:dyDescent="0.35">
      <c r="A41" s="4">
        <v>1.9299999999999999E-7</v>
      </c>
      <c r="B41" s="4">
        <v>1.8699999999999999E-7</v>
      </c>
      <c r="C41" s="4">
        <v>1.4600000000000001E-7</v>
      </c>
      <c r="D41" s="4">
        <v>1.2499999999999999E-7</v>
      </c>
      <c r="E41" s="4">
        <v>1.14E-7</v>
      </c>
      <c r="F41" s="4">
        <v>4.0399999999999998E-8</v>
      </c>
      <c r="G41" s="4">
        <v>2.2399999999999999E-8</v>
      </c>
      <c r="H41" s="4">
        <v>1.2E-8</v>
      </c>
    </row>
    <row r="42" spans="1:8" x14ac:dyDescent="0.35">
      <c r="A42" s="4">
        <v>1.9399999999999999E-7</v>
      </c>
      <c r="B42" s="4">
        <v>1.8799999999999999E-7</v>
      </c>
      <c r="C42" s="4">
        <v>1.5200000000000001E-7</v>
      </c>
      <c r="D42" s="4">
        <v>1.3199999999999999E-7</v>
      </c>
      <c r="E42" s="4">
        <v>1.2200000000000001E-7</v>
      </c>
      <c r="F42" s="4">
        <v>4.5900000000000001E-8</v>
      </c>
      <c r="G42" s="4">
        <v>2.59E-8</v>
      </c>
      <c r="H42" s="4">
        <v>1.4E-8</v>
      </c>
    </row>
    <row r="43" spans="1:8" x14ac:dyDescent="0.35">
      <c r="A43" s="4">
        <v>1.9500000000000001E-7</v>
      </c>
      <c r="B43" s="4">
        <v>1.9000000000000001E-7</v>
      </c>
      <c r="C43" s="4">
        <v>1.5800000000000001E-7</v>
      </c>
      <c r="D43" s="4">
        <v>1.3899999999999999E-7</v>
      </c>
      <c r="E43" s="4">
        <v>1.29E-7</v>
      </c>
      <c r="F43" s="4">
        <v>5.2100000000000003E-8</v>
      </c>
      <c r="G43" s="4">
        <v>2.9799999999999999E-8</v>
      </c>
      <c r="H43" s="4">
        <v>1.63E-8</v>
      </c>
    </row>
    <row r="44" spans="1:8" x14ac:dyDescent="0.35">
      <c r="A44" s="4">
        <v>1.9600000000000001E-7</v>
      </c>
      <c r="B44" s="4">
        <v>1.91E-7</v>
      </c>
      <c r="C44" s="4">
        <v>1.6299999999999999E-7</v>
      </c>
      <c r="D44" s="4">
        <v>1.4600000000000001E-7</v>
      </c>
      <c r="E44" s="4">
        <v>1.37E-7</v>
      </c>
      <c r="F44" s="4">
        <v>5.8899999999999998E-8</v>
      </c>
      <c r="G44" s="4">
        <v>3.4399999999999997E-8</v>
      </c>
      <c r="H44" s="4">
        <v>1.89E-8</v>
      </c>
    </row>
    <row r="45" spans="1:8" x14ac:dyDescent="0.35">
      <c r="A45" s="4">
        <v>1.9600000000000001E-7</v>
      </c>
      <c r="B45" s="4">
        <v>1.9299999999999999E-7</v>
      </c>
      <c r="C45" s="4">
        <v>1.67E-7</v>
      </c>
      <c r="D45" s="4">
        <v>1.5200000000000001E-7</v>
      </c>
      <c r="E45" s="4">
        <v>1.43E-7</v>
      </c>
      <c r="F45" s="4">
        <v>6.6199999999999997E-8</v>
      </c>
      <c r="G45" s="4">
        <v>3.9500000000000003E-8</v>
      </c>
      <c r="H45" s="4">
        <v>2.1999999999999998E-8</v>
      </c>
    </row>
    <row r="46" spans="1:8" x14ac:dyDescent="0.35">
      <c r="A46" s="4">
        <v>1.97E-7</v>
      </c>
      <c r="B46" s="4">
        <v>1.9399999999999999E-7</v>
      </c>
      <c r="C46" s="4">
        <v>1.72E-7</v>
      </c>
      <c r="D46" s="4">
        <v>1.5800000000000001E-7</v>
      </c>
      <c r="E46" s="4">
        <v>1.4999999999999999E-7</v>
      </c>
      <c r="F46" s="4">
        <v>7.4099999999999995E-8</v>
      </c>
      <c r="G46" s="4">
        <v>4.5300000000000002E-8</v>
      </c>
      <c r="H46" s="4">
        <v>2.5600000000000001E-8</v>
      </c>
    </row>
    <row r="47" spans="1:8" x14ac:dyDescent="0.35">
      <c r="A47" s="4">
        <v>1.9999999999999999E-7</v>
      </c>
      <c r="B47" s="4">
        <v>1.99E-7</v>
      </c>
      <c r="C47" s="4">
        <v>1.97E-7</v>
      </c>
      <c r="D47" s="4">
        <v>1.9500000000000001E-7</v>
      </c>
      <c r="E47" s="4">
        <v>1.9399999999999999E-7</v>
      </c>
      <c r="F47" s="4">
        <v>1.7100000000000001E-7</v>
      </c>
      <c r="G47" s="4">
        <v>1.4399999999999999E-7</v>
      </c>
      <c r="H47" s="4">
        <v>9.9999999999999995E-8</v>
      </c>
    </row>
    <row r="48" spans="1:8" x14ac:dyDescent="0.35">
      <c r="A48" s="4">
        <v>1.9999999999999999E-7</v>
      </c>
      <c r="B48" s="4">
        <v>1.99E-7</v>
      </c>
      <c r="C48" s="4">
        <v>1.97E-7</v>
      </c>
      <c r="D48" s="4">
        <v>1.9600000000000001E-7</v>
      </c>
      <c r="E48" s="4">
        <v>1.9500000000000001E-7</v>
      </c>
      <c r="F48" s="4">
        <v>1.7499999999999999E-7</v>
      </c>
      <c r="G48" s="4">
        <v>1.5099999999999999E-7</v>
      </c>
      <c r="H48" s="4">
        <v>1.11E-7</v>
      </c>
    </row>
    <row r="49" spans="1:8" x14ac:dyDescent="0.35">
      <c r="A49" s="4">
        <v>1.9999999999999999E-7</v>
      </c>
      <c r="B49" s="4">
        <v>1.9999999999999999E-7</v>
      </c>
      <c r="C49" s="4">
        <v>1.98E-7</v>
      </c>
      <c r="D49" s="4">
        <v>1.9600000000000001E-7</v>
      </c>
      <c r="E49" s="4">
        <v>1.9600000000000001E-7</v>
      </c>
      <c r="F49" s="4">
        <v>1.7800000000000001E-7</v>
      </c>
      <c r="G49" s="4">
        <v>1.5699999999999999E-7</v>
      </c>
      <c r="H49" s="4">
        <v>1.2100000000000001E-7</v>
      </c>
    </row>
    <row r="50" spans="1:8" x14ac:dyDescent="0.35">
      <c r="A50" s="4">
        <v>1.9999999999999999E-7</v>
      </c>
      <c r="B50" s="4">
        <v>1.9999999999999999E-7</v>
      </c>
      <c r="C50" s="4">
        <v>1.98E-7</v>
      </c>
      <c r="D50" s="4">
        <v>1.97E-7</v>
      </c>
      <c r="E50" s="4">
        <v>1.9600000000000001E-7</v>
      </c>
      <c r="F50" s="4">
        <v>1.8099999999999999E-7</v>
      </c>
      <c r="G50" s="4">
        <v>1.6199999999999999E-7</v>
      </c>
      <c r="H50" s="4">
        <v>1.3E-7</v>
      </c>
    </row>
    <row r="51" spans="1:8" x14ac:dyDescent="0.35">
      <c r="A51" s="4">
        <v>1.9999999999999999E-7</v>
      </c>
      <c r="B51" s="4">
        <v>1.9999999999999999E-7</v>
      </c>
      <c r="C51" s="4">
        <v>1.98E-7</v>
      </c>
      <c r="D51" s="4">
        <v>1.97E-7</v>
      </c>
      <c r="E51" s="4">
        <v>1.97E-7</v>
      </c>
      <c r="F51" s="4">
        <v>1.8300000000000001E-7</v>
      </c>
      <c r="G51" s="4">
        <v>1.67E-7</v>
      </c>
      <c r="H51" s="4">
        <v>1.3899999999999999E-7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NormFluoro</vt:lpstr>
      <vt:lpstr>weights</vt:lpstr>
      <vt:lpstr>conc</vt:lpstr>
      <vt:lpstr>KD</vt:lpstr>
      <vt:lpstr>Y</vt:lpstr>
      <vt:lpstr>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Oloff, Esther</dc:creator>
  <cp:keywords/>
  <dc:description/>
  <cp:lastModifiedBy>Esther Oloff</cp:lastModifiedBy>
  <cp:revision/>
  <dcterms:created xsi:type="dcterms:W3CDTF">2022-07-25T16:53:14Z</dcterms:created>
  <dcterms:modified xsi:type="dcterms:W3CDTF">2025-11-08T03:16:32Z</dcterms:modified>
  <cp:category/>
  <cp:contentStatus/>
</cp:coreProperties>
</file>