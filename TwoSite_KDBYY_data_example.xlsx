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95f6200f8a9b68/Documents/MATLAB/Github code/"/>
    </mc:Choice>
  </mc:AlternateContent>
  <xr:revisionPtr revIDLastSave="0" documentId="8_{6072722A-E043-44C0-B1F2-7E2DC7DCAAA4}" xr6:coauthVersionLast="47" xr6:coauthVersionMax="47" xr10:uidLastSave="{00000000-0000-0000-0000-000000000000}"/>
  <bookViews>
    <workbookView xWindow="-110" yWindow="-110" windowWidth="19420" windowHeight="11500" activeTab="3" xr2:uid="{9D9801E6-98A2-449D-AACF-24B413E0AD33}"/>
  </bookViews>
  <sheets>
    <sheet name="NormFluoro" sheetId="9" r:id="rId1"/>
    <sheet name="weights" sheetId="10" r:id="rId2"/>
    <sheet name="conc" sheetId="6" r:id="rId3"/>
    <sheet name="KD" sheetId="21" r:id="rId4"/>
    <sheet name="Y" sheetId="25" r:id="rId5"/>
    <sheet name="B" sheetId="2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A1" i="6"/>
  <c r="H1" i="6"/>
  <c r="G1" i="6"/>
  <c r="F1" i="6"/>
  <c r="E1" i="6"/>
  <c r="D1" i="6"/>
  <c r="C1" i="6"/>
</calcChain>
</file>

<file path=xl/sharedStrings.xml><?xml version="1.0" encoding="utf-8"?>
<sst xmlns="http://schemas.openxmlformats.org/spreadsheetml/2006/main" count="15" uniqueCount="15">
  <si>
    <t>Temperature</t>
  </si>
  <si>
    <t>NTC</t>
  </si>
  <si>
    <t>0uM</t>
  </si>
  <si>
    <t>0.05uM</t>
  </si>
  <si>
    <t>0.1uM</t>
  </si>
  <si>
    <t>0.5uM</t>
  </si>
  <si>
    <t>0.8uM</t>
  </si>
  <si>
    <t>1uM</t>
  </si>
  <si>
    <t>5uM</t>
  </si>
  <si>
    <t>10uM</t>
  </si>
  <si>
    <t>20uM</t>
  </si>
  <si>
    <t>K3_ave</t>
  </si>
  <si>
    <t>KD1</t>
  </si>
  <si>
    <t>KD2_OneSite</t>
  </si>
  <si>
    <t>KDYY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</si>
</sst>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.25"/>
      <name val="Microsoft Sans Serif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11" fontId="0" fillId="0" borderId="0" xfId="0" applyNumberFormat="1"/>
    <xf numFmtId="0" fontId="1" fillId="0" borderId="0" xfId="0" applyFont="1" applyAlignment="1">
      <alignment vertical="top"/>
    </xf>
    <xf numFmtId="0" fontId="3" fillId="0" borderId="0" xfId="0" applyFont="1"/>
    <xf numFmtId="11" fontId="3" fillId="0" borderId="0" xfId="0" applyNumberFormat="1" applyFont="1"/>
    <xf numFmtId="11" fontId="0" fillId="3" borderId="0" xfId="0" applyNumberFormat="1" applyFill="1"/>
    <xf numFmtId="11" fontId="0" fillId="3" borderId="0" xfId="0" applyNumberFormat="1" applyFill="1" applyAlignment="1">
      <alignment horizontal="center"/>
    </xf>
    <xf numFmtId="0" fontId="0" fillId="3" borderId="0" xfId="0" applyFill="1"/>
    <xf numFmtId="1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06C1-470D-492A-8A23-0D392E1D41C5}">
  <dimension ref="A1:Q82"/>
  <sheetViews>
    <sheetView workbookViewId="0">
      <selection activeCell="O80" sqref="O80"/>
    </sheetView>
  </sheetViews>
  <sheetFormatPr defaultRowHeight="14.5" x14ac:dyDescent="0.35"/>
  <sheetData>
    <row r="1" spans="1:17" ht="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</row>
    <row r="2" spans="1:17" x14ac:dyDescent="0.35">
      <c r="A2" s="2">
        <v>10</v>
      </c>
      <c r="B2" s="5">
        <v>0</v>
      </c>
      <c r="C2" s="5">
        <v>8.0279223902524441E-2</v>
      </c>
      <c r="D2" s="5">
        <v>0.11335020962932967</v>
      </c>
      <c r="E2" s="5">
        <v>0.16331553068665283</v>
      </c>
      <c r="F2" s="5">
        <v>0.63433999094913507</v>
      </c>
      <c r="G2" s="5">
        <v>0.92488447993846101</v>
      </c>
      <c r="H2" s="5">
        <v>1.0687373478229965</v>
      </c>
      <c r="I2" s="5">
        <v>1.175608669347517</v>
      </c>
      <c r="J2" s="5">
        <v>1.1792754423893004</v>
      </c>
      <c r="K2" s="5">
        <v>1.1128477942621029</v>
      </c>
      <c r="M2" s="5"/>
      <c r="N2" s="5"/>
      <c r="O2" s="5"/>
      <c r="P2" s="5"/>
      <c r="Q2" s="5"/>
    </row>
    <row r="3" spans="1:17" x14ac:dyDescent="0.35">
      <c r="A3" s="2">
        <v>11</v>
      </c>
      <c r="B3" s="5">
        <v>0</v>
      </c>
      <c r="C3" s="5">
        <v>8.0959404477121466E-2</v>
      </c>
      <c r="D3" s="5">
        <v>0.11313914845748049</v>
      </c>
      <c r="E3" s="5">
        <v>0.16257737625401431</v>
      </c>
      <c r="F3" s="5">
        <v>0.63093293654007609</v>
      </c>
      <c r="G3" s="5">
        <v>0.92025110921640252</v>
      </c>
      <c r="H3" s="5">
        <v>1.0649967579304527</v>
      </c>
      <c r="I3" s="5">
        <v>1.1740697565270042</v>
      </c>
      <c r="J3" s="5">
        <v>1.1780710499371729</v>
      </c>
      <c r="K3" s="5">
        <v>1.1118326827493425</v>
      </c>
      <c r="M3" s="5"/>
      <c r="N3" s="5"/>
      <c r="O3" s="5"/>
      <c r="P3" s="5"/>
      <c r="Q3" s="5"/>
    </row>
    <row r="4" spans="1:17" x14ac:dyDescent="0.35">
      <c r="A4" s="2">
        <v>12</v>
      </c>
      <c r="B4" s="5">
        <v>0</v>
      </c>
      <c r="C4" s="5">
        <v>8.1618511813362216E-2</v>
      </c>
      <c r="D4" s="5">
        <v>0.1128930923506882</v>
      </c>
      <c r="E4" s="5">
        <v>0.16178483501665011</v>
      </c>
      <c r="F4" s="5">
        <v>0.62731502767441549</v>
      </c>
      <c r="G4" s="5">
        <v>0.91531240163221839</v>
      </c>
      <c r="H4" s="5">
        <v>1.0609130264362272</v>
      </c>
      <c r="I4" s="5">
        <v>1.1721655100872321</v>
      </c>
      <c r="J4" s="5">
        <v>1.176500875366385</v>
      </c>
      <c r="K4" s="5">
        <v>1.1104739202956411</v>
      </c>
      <c r="M4" s="5"/>
      <c r="N4" s="5"/>
      <c r="O4" s="5"/>
      <c r="P4" s="5"/>
      <c r="Q4" s="5"/>
    </row>
    <row r="5" spans="1:17" x14ac:dyDescent="0.35">
      <c r="A5" s="2">
        <v>13</v>
      </c>
      <c r="B5" s="5">
        <v>0</v>
      </c>
      <c r="C5" s="5">
        <v>8.2280297373790598E-2</v>
      </c>
      <c r="D5" s="5">
        <v>0.11264473177261858</v>
      </c>
      <c r="E5" s="5">
        <v>0.16098783957907251</v>
      </c>
      <c r="F5" s="5">
        <v>0.62367918873332984</v>
      </c>
      <c r="G5" s="5">
        <v>0.91034973188019208</v>
      </c>
      <c r="H5" s="5">
        <v>1.0568085012169151</v>
      </c>
      <c r="I5" s="5">
        <v>1.1702512931275613</v>
      </c>
      <c r="J5" s="5">
        <v>1.1749233603935989</v>
      </c>
      <c r="K5" s="5">
        <v>1.1091074768792379</v>
      </c>
      <c r="M5" s="5"/>
      <c r="N5" s="5"/>
      <c r="O5" s="5"/>
      <c r="P5" s="5"/>
      <c r="Q5" s="5"/>
    </row>
    <row r="6" spans="1:17" x14ac:dyDescent="0.35">
      <c r="A6" s="2">
        <v>14</v>
      </c>
      <c r="B6" s="5">
        <v>0</v>
      </c>
      <c r="C6" s="5">
        <v>8.2945366081315752E-2</v>
      </c>
      <c r="D6" s="5">
        <v>0.11239730969989477</v>
      </c>
      <c r="E6" s="5">
        <v>0.1601879487035428</v>
      </c>
      <c r="F6" s="5">
        <v>0.6200263543901231</v>
      </c>
      <c r="G6" s="5">
        <v>0.90536195790477569</v>
      </c>
      <c r="H6" s="5">
        <v>1.0526847208489698</v>
      </c>
      <c r="I6" s="5">
        <v>1.1683285839789999</v>
      </c>
      <c r="J6" s="5">
        <v>1.1733385439602539</v>
      </c>
      <c r="K6" s="5">
        <v>1.1077351824497199</v>
      </c>
      <c r="M6" s="5"/>
      <c r="N6" s="5"/>
      <c r="O6" s="5"/>
      <c r="P6" s="5"/>
      <c r="Q6" s="5"/>
    </row>
    <row r="7" spans="1:17" x14ac:dyDescent="0.35">
      <c r="A7" s="2">
        <v>15</v>
      </c>
      <c r="B7" s="5">
        <v>0</v>
      </c>
      <c r="C7" s="5">
        <v>8.3614329288035263E-2</v>
      </c>
      <c r="D7" s="5">
        <v>0.11214595349311404</v>
      </c>
      <c r="E7" s="5">
        <v>0.15938304324318422</v>
      </c>
      <c r="F7" s="5">
        <v>0.61635440699810484</v>
      </c>
      <c r="G7" s="5">
        <v>0.90034896613079962</v>
      </c>
      <c r="H7" s="5">
        <v>1.0485384018984534</v>
      </c>
      <c r="I7" s="5">
        <v>1.1663949767805695</v>
      </c>
      <c r="J7" s="5">
        <v>1.171744981978196</v>
      </c>
      <c r="K7" s="5">
        <v>1.1063552808795478</v>
      </c>
      <c r="M7" s="5"/>
      <c r="N7" s="5"/>
      <c r="O7" s="5"/>
      <c r="P7" s="5"/>
      <c r="Q7" s="5"/>
    </row>
    <row r="8" spans="1:17" x14ac:dyDescent="0.35">
      <c r="A8" s="2">
        <v>16</v>
      </c>
      <c r="B8" s="5">
        <v>0</v>
      </c>
      <c r="C8" s="5">
        <v>8.428545101908734E-2</v>
      </c>
      <c r="D8" s="5">
        <v>0.11189387303096862</v>
      </c>
      <c r="E8" s="5">
        <v>0.1585751616665047</v>
      </c>
      <c r="F8" s="5">
        <v>0.61266407254782163</v>
      </c>
      <c r="G8" s="5">
        <v>0.8953113844545969</v>
      </c>
      <c r="H8" s="5">
        <v>1.0443723472048001</v>
      </c>
      <c r="I8" s="5">
        <v>1.1644525425934635</v>
      </c>
      <c r="J8" s="5">
        <v>1.1701438054760038</v>
      </c>
      <c r="K8" s="5">
        <v>1.1049692463586696</v>
      </c>
      <c r="M8" s="5"/>
      <c r="N8" s="5"/>
      <c r="O8" s="5"/>
      <c r="P8" s="5"/>
      <c r="Q8" s="5"/>
    </row>
    <row r="9" spans="1:17" x14ac:dyDescent="0.35">
      <c r="A9" s="2">
        <v>17</v>
      </c>
      <c r="B9" s="5">
        <v>0</v>
      </c>
      <c r="C9" s="5">
        <v>8.5012323355054084E-2</v>
      </c>
      <c r="D9" s="5">
        <v>0.11156315438637766</v>
      </c>
      <c r="E9" s="5">
        <v>0.15765391637059506</v>
      </c>
      <c r="F9" s="5">
        <v>0.60825487398439149</v>
      </c>
      <c r="G9" s="5">
        <v>0.88919820380088133</v>
      </c>
      <c r="H9" s="5">
        <v>1.0392598623737683</v>
      </c>
      <c r="I9" s="5">
        <v>1.1625457916255006</v>
      </c>
      <c r="J9" s="5">
        <v>1.1685930943252802</v>
      </c>
      <c r="K9" s="5">
        <v>1.1037167412047766</v>
      </c>
      <c r="M9" s="5"/>
      <c r="N9" s="5"/>
      <c r="O9" s="5"/>
      <c r="P9" s="5"/>
      <c r="Q9" s="5"/>
    </row>
    <row r="10" spans="1:17" x14ac:dyDescent="0.35">
      <c r="A10" s="2">
        <v>18</v>
      </c>
      <c r="B10" s="5">
        <v>0</v>
      </c>
      <c r="C10" s="5">
        <v>8.5730118617584311E-2</v>
      </c>
      <c r="D10" s="5">
        <v>0.11120673606419454</v>
      </c>
      <c r="E10" s="5">
        <v>0.15658794259350403</v>
      </c>
      <c r="F10" s="5">
        <v>0.60305216629330571</v>
      </c>
      <c r="G10" s="5">
        <v>0.88187037913154798</v>
      </c>
      <c r="H10" s="5">
        <v>1.0330171922754949</v>
      </c>
      <c r="I10" s="5">
        <v>1.1606868329168851</v>
      </c>
      <c r="J10" s="5">
        <v>1.1671051560150898</v>
      </c>
      <c r="K10" s="5">
        <v>1.102600453128715</v>
      </c>
      <c r="M10" s="5"/>
      <c r="N10" s="5"/>
      <c r="O10" s="5"/>
      <c r="P10" s="5"/>
      <c r="Q10" s="5"/>
    </row>
    <row r="11" spans="1:17" x14ac:dyDescent="0.35">
      <c r="A11" s="2">
        <v>19</v>
      </c>
      <c r="B11" s="5">
        <v>0</v>
      </c>
      <c r="C11" s="5">
        <v>8.6376346868537415E-2</v>
      </c>
      <c r="D11" s="5">
        <v>0.11074075077705116</v>
      </c>
      <c r="E11" s="5">
        <v>0.15531734422854993</v>
      </c>
      <c r="F11" s="5">
        <v>0.59699199087880472</v>
      </c>
      <c r="G11" s="5">
        <v>0.87314011618742571</v>
      </c>
      <c r="H11" s="5">
        <v>1.0254068532178648</v>
      </c>
      <c r="I11" s="5">
        <v>1.1588548868729032</v>
      </c>
      <c r="J11" s="5">
        <v>1.1656484772931108</v>
      </c>
      <c r="K11" s="5">
        <v>1.1016320330871243</v>
      </c>
      <c r="M11" s="5"/>
      <c r="N11" s="5"/>
      <c r="O11" s="5"/>
      <c r="P11" s="5"/>
      <c r="Q11" s="5"/>
    </row>
    <row r="12" spans="1:17" x14ac:dyDescent="0.35">
      <c r="A12" s="2">
        <v>20</v>
      </c>
      <c r="B12" s="5">
        <v>0</v>
      </c>
      <c r="C12" s="5">
        <v>8.6937483501419846E-2</v>
      </c>
      <c r="D12" s="5">
        <v>0.11012813886362244</v>
      </c>
      <c r="E12" s="5">
        <v>0.15386639269415381</v>
      </c>
      <c r="F12" s="5">
        <v>0.58997683937297329</v>
      </c>
      <c r="G12" s="5">
        <v>0.86291548728956791</v>
      </c>
      <c r="H12" s="5">
        <v>1.0161405645563011</v>
      </c>
      <c r="I12" s="5">
        <v>1.1570722424644853</v>
      </c>
      <c r="J12" s="5">
        <v>1.1643437690020058</v>
      </c>
      <c r="K12" s="5">
        <v>1.1008306818264939</v>
      </c>
      <c r="M12" s="5"/>
      <c r="N12" s="5"/>
      <c r="O12" s="5"/>
      <c r="P12" s="5"/>
      <c r="Q12" s="5"/>
    </row>
    <row r="13" spans="1:17" x14ac:dyDescent="0.35">
      <c r="A13" s="2">
        <v>21</v>
      </c>
      <c r="B13" s="5">
        <v>0</v>
      </c>
      <c r="C13" s="5">
        <v>8.7367123886261541E-2</v>
      </c>
      <c r="D13" s="5">
        <v>0.10934062130834893</v>
      </c>
      <c r="E13" s="5">
        <v>0.15214452703721731</v>
      </c>
      <c r="F13" s="5">
        <v>0.58196070184718018</v>
      </c>
      <c r="G13" s="5">
        <v>0.85108774698132594</v>
      </c>
      <c r="H13" s="5">
        <v>1.0050532681537947</v>
      </c>
      <c r="I13" s="5">
        <v>1.1554578328893226</v>
      </c>
      <c r="J13" s="5">
        <v>1.1631277602147427</v>
      </c>
      <c r="K13" s="5">
        <v>1.1002444502885131</v>
      </c>
      <c r="M13" s="5"/>
      <c r="N13" s="5"/>
      <c r="O13" s="5"/>
      <c r="P13" s="5"/>
      <c r="Q13" s="5"/>
    </row>
    <row r="14" spans="1:17" x14ac:dyDescent="0.35">
      <c r="A14" s="2">
        <v>22</v>
      </c>
      <c r="B14" s="5">
        <v>0</v>
      </c>
      <c r="C14" s="5">
        <v>8.7672362188896291E-2</v>
      </c>
      <c r="D14" s="5">
        <v>0.10835602192096418</v>
      </c>
      <c r="E14" s="5">
        <v>0.1501453065793478</v>
      </c>
      <c r="F14" s="5">
        <v>0.57293151643676554</v>
      </c>
      <c r="G14" s="5">
        <v>0.83763731920555617</v>
      </c>
      <c r="H14" s="5">
        <v>0.99184535650509376</v>
      </c>
      <c r="I14" s="5">
        <v>1.1539639534998278</v>
      </c>
      <c r="J14" s="5">
        <v>1.162013727357059</v>
      </c>
      <c r="K14" s="5">
        <v>1.0998362511794979</v>
      </c>
      <c r="M14" s="5"/>
      <c r="N14" s="5"/>
      <c r="O14" s="5"/>
      <c r="P14" s="5"/>
      <c r="Q14" s="5"/>
    </row>
    <row r="15" spans="1:17" x14ac:dyDescent="0.35">
      <c r="A15" s="2">
        <v>23</v>
      </c>
      <c r="B15" s="5">
        <v>0</v>
      </c>
      <c r="C15" s="5">
        <v>8.7885111558966847E-2</v>
      </c>
      <c r="D15" s="5">
        <v>0.10709461964257823</v>
      </c>
      <c r="E15" s="5">
        <v>0.14784922817733689</v>
      </c>
      <c r="F15" s="5">
        <v>0.56277821383727711</v>
      </c>
      <c r="G15" s="5">
        <v>0.82368564644372444</v>
      </c>
      <c r="H15" s="5">
        <v>0.97636076861167564</v>
      </c>
      <c r="I15" s="5">
        <v>1.1525791983701308</v>
      </c>
      <c r="J15" s="5">
        <v>1.1609887387009765</v>
      </c>
      <c r="K15" s="5">
        <v>1.0996503818657</v>
      </c>
      <c r="M15" s="5"/>
      <c r="N15" s="5"/>
      <c r="O15" s="5"/>
      <c r="P15" s="5"/>
      <c r="Q15" s="5"/>
    </row>
    <row r="16" spans="1:17" x14ac:dyDescent="0.35">
      <c r="A16" s="2">
        <v>24</v>
      </c>
      <c r="B16" s="5">
        <v>0</v>
      </c>
      <c r="C16" s="5">
        <v>8.7995687208024032E-2</v>
      </c>
      <c r="D16" s="5">
        <v>0.10554766610835695</v>
      </c>
      <c r="E16" s="5">
        <v>0.14520503877330229</v>
      </c>
      <c r="F16" s="5">
        <v>0.55135407749566112</v>
      </c>
      <c r="G16" s="5">
        <v>0.80908684600558556</v>
      </c>
      <c r="H16" s="5">
        <v>0.95834216395749672</v>
      </c>
      <c r="I16" s="5">
        <v>1.1513016271035696</v>
      </c>
      <c r="J16" s="5">
        <v>1.1600656366888153</v>
      </c>
      <c r="K16" s="5">
        <v>1.0996750484696856</v>
      </c>
      <c r="M16" s="5"/>
      <c r="N16" s="5"/>
      <c r="O16" s="5"/>
      <c r="P16" s="5"/>
      <c r="Q16" s="5"/>
    </row>
    <row r="17" spans="1:17" x14ac:dyDescent="0.35">
      <c r="A17" s="2">
        <v>25</v>
      </c>
      <c r="B17" s="5">
        <v>0</v>
      </c>
      <c r="C17" s="5">
        <v>8.7978747582500044E-2</v>
      </c>
      <c r="D17" s="5">
        <v>0.1036823608726981</v>
      </c>
      <c r="E17" s="5">
        <v>0.14209827760780969</v>
      </c>
      <c r="F17" s="5">
        <v>0.53851364758548015</v>
      </c>
      <c r="G17" s="5">
        <v>0.7936531272531363</v>
      </c>
      <c r="H17" s="5">
        <v>0.93760649694100973</v>
      </c>
      <c r="I17" s="5">
        <v>1.1501466894103578</v>
      </c>
      <c r="J17" s="5">
        <v>1.159208708104069</v>
      </c>
      <c r="K17" s="5">
        <v>1.0999841738607561</v>
      </c>
      <c r="M17" s="5"/>
      <c r="N17" s="5"/>
      <c r="O17" s="5"/>
      <c r="P17" s="5"/>
      <c r="Q17" s="5"/>
    </row>
    <row r="18" spans="1:17" x14ac:dyDescent="0.35">
      <c r="A18" s="2">
        <v>26</v>
      </c>
      <c r="B18" s="5">
        <v>0</v>
      </c>
      <c r="C18" s="5">
        <v>8.7860211020586942E-2</v>
      </c>
      <c r="D18" s="5">
        <v>0.10144220596571238</v>
      </c>
      <c r="E18" s="5">
        <v>0.13847981342476273</v>
      </c>
      <c r="F18" s="5">
        <v>0.52372382338440449</v>
      </c>
      <c r="G18" s="5">
        <v>0.77677723768202656</v>
      </c>
      <c r="H18" s="5">
        <v>0.91346395025499982</v>
      </c>
      <c r="I18" s="5">
        <v>1.1488936954587552</v>
      </c>
      <c r="J18" s="5">
        <v>1.1584505730548165</v>
      </c>
      <c r="K18" s="5">
        <v>1.1004636858542043</v>
      </c>
      <c r="M18" s="5"/>
      <c r="N18" s="5"/>
      <c r="O18" s="5"/>
      <c r="P18" s="5"/>
      <c r="Q18" s="5"/>
    </row>
    <row r="19" spans="1:17" x14ac:dyDescent="0.35">
      <c r="A19" s="2">
        <v>27</v>
      </c>
      <c r="B19" s="5">
        <v>0</v>
      </c>
      <c r="C19" s="5">
        <v>8.7621411148644843E-2</v>
      </c>
      <c r="D19" s="5">
        <v>9.8915260608482825E-2</v>
      </c>
      <c r="E19" s="5">
        <v>0.13427579617767818</v>
      </c>
      <c r="F19" s="5">
        <v>0.50665395779547062</v>
      </c>
      <c r="G19" s="5">
        <v>0.75799011543900152</v>
      </c>
      <c r="H19" s="5">
        <v>0.88567873878852044</v>
      </c>
      <c r="I19" s="5">
        <v>1.1475072970385678</v>
      </c>
      <c r="J19" s="5">
        <v>1.1577774100893667</v>
      </c>
      <c r="K19" s="5">
        <v>1.1011794641081543</v>
      </c>
      <c r="M19" s="5"/>
      <c r="N19" s="5"/>
      <c r="O19" s="5"/>
      <c r="P19" s="5"/>
      <c r="Q19" s="5"/>
    </row>
    <row r="20" spans="1:17" x14ac:dyDescent="0.35">
      <c r="A20" s="2">
        <v>28</v>
      </c>
      <c r="B20" s="5">
        <v>0</v>
      </c>
      <c r="C20" s="5">
        <v>8.7285261947523757E-2</v>
      </c>
      <c r="D20" s="5">
        <v>9.6141764437274679E-2</v>
      </c>
      <c r="E20" s="5">
        <v>0.12944741448566294</v>
      </c>
      <c r="F20" s="5">
        <v>0.48688933965017561</v>
      </c>
      <c r="G20" s="5">
        <v>0.73425137741252922</v>
      </c>
      <c r="H20" s="5">
        <v>0.85374064785787751</v>
      </c>
      <c r="I20" s="5">
        <v>1.1458101282304003</v>
      </c>
      <c r="J20" s="5">
        <v>1.1571754429007102</v>
      </c>
      <c r="K20" s="5">
        <v>1.1020670398770251</v>
      </c>
      <c r="M20" s="5"/>
      <c r="N20" s="5"/>
      <c r="O20" s="5"/>
      <c r="P20" s="5"/>
      <c r="Q20" s="5"/>
    </row>
    <row r="21" spans="1:17" x14ac:dyDescent="0.35">
      <c r="A21" s="2">
        <v>29</v>
      </c>
      <c r="B21" s="5">
        <v>0</v>
      </c>
      <c r="C21" s="5">
        <v>8.6897151269124367E-2</v>
      </c>
      <c r="D21" s="5">
        <v>9.3212966029806985E-2</v>
      </c>
      <c r="E21" s="5">
        <v>0.12400819978506525</v>
      </c>
      <c r="F21" s="5">
        <v>0.46410582906690384</v>
      </c>
      <c r="G21" s="5">
        <v>0.70510294990150346</v>
      </c>
      <c r="H21" s="5">
        <v>0.8172659329513301</v>
      </c>
      <c r="I21" s="5">
        <v>1.1435931010408467</v>
      </c>
      <c r="J21" s="5">
        <v>1.1565345999654026</v>
      </c>
      <c r="K21" s="5">
        <v>1.1030661944679894</v>
      </c>
      <c r="M21" s="5"/>
      <c r="N21" s="5"/>
      <c r="O21" s="5"/>
      <c r="P21" s="5"/>
      <c r="Q21" s="5"/>
    </row>
    <row r="22" spans="1:17" x14ac:dyDescent="0.35">
      <c r="A22" s="2">
        <v>30</v>
      </c>
      <c r="B22" s="5">
        <v>0</v>
      </c>
      <c r="C22" s="5">
        <v>8.6430744882636898E-2</v>
      </c>
      <c r="D22" s="5">
        <v>9.023745090049913E-2</v>
      </c>
      <c r="E22" s="5">
        <v>0.11802640296254403</v>
      </c>
      <c r="F22" s="5">
        <v>0.43801340590151561</v>
      </c>
      <c r="G22" s="5">
        <v>0.67009814675083046</v>
      </c>
      <c r="H22" s="5">
        <v>0.77582053460817324</v>
      </c>
      <c r="I22" s="5">
        <v>1.1404242986186706</v>
      </c>
      <c r="J22" s="5">
        <v>1.1557019089755691</v>
      </c>
      <c r="K22" s="5">
        <v>1.1040225558888812</v>
      </c>
      <c r="M22" s="5"/>
      <c r="N22" s="5"/>
      <c r="O22" s="5"/>
      <c r="P22" s="5"/>
      <c r="Q22" s="5"/>
    </row>
    <row r="23" spans="1:17" x14ac:dyDescent="0.35">
      <c r="A23" s="2">
        <v>31</v>
      </c>
      <c r="B23" s="5">
        <v>0</v>
      </c>
      <c r="C23" s="5">
        <v>8.5920324915476839E-2</v>
      </c>
      <c r="D23" s="5">
        <v>8.7432552816125539E-2</v>
      </c>
      <c r="E23" s="5">
        <v>0.11176061286803166</v>
      </c>
      <c r="F23" s="5">
        <v>0.40902910095695127</v>
      </c>
      <c r="G23" s="5">
        <v>0.62966764289426103</v>
      </c>
      <c r="H23" s="5">
        <v>0.72992969471156499</v>
      </c>
      <c r="I23" s="5">
        <v>1.1360489050147096</v>
      </c>
      <c r="J23" s="5">
        <v>1.1546014625042766</v>
      </c>
      <c r="K23" s="5">
        <v>1.1049273815863585</v>
      </c>
      <c r="M23" s="5"/>
      <c r="N23" s="5"/>
      <c r="O23" s="5"/>
      <c r="P23" s="5"/>
      <c r="Q23" s="5"/>
    </row>
    <row r="24" spans="1:17" x14ac:dyDescent="0.35">
      <c r="A24" s="2">
        <v>32</v>
      </c>
      <c r="B24" s="5">
        <v>0</v>
      </c>
      <c r="C24" s="5">
        <v>8.5402316645246112E-2</v>
      </c>
      <c r="D24" s="5">
        <v>8.4842255916962178E-2</v>
      </c>
      <c r="E24" s="5">
        <v>0.1054564119483779</v>
      </c>
      <c r="F24" s="5">
        <v>0.37733424788956293</v>
      </c>
      <c r="G24" s="5">
        <v>0.58393703983597112</v>
      </c>
      <c r="H24" s="5">
        <v>0.67950897803062194</v>
      </c>
      <c r="I24" s="5">
        <v>1.1298184506210138</v>
      </c>
      <c r="J24" s="5">
        <v>1.1530135520872138</v>
      </c>
      <c r="K24" s="5">
        <v>1.1056593815201134</v>
      </c>
      <c r="M24" s="5"/>
      <c r="N24" s="5"/>
      <c r="O24" s="5"/>
      <c r="P24" s="5"/>
      <c r="Q24" s="5"/>
    </row>
    <row r="25" spans="1:17" x14ac:dyDescent="0.35">
      <c r="A25" s="2">
        <v>33</v>
      </c>
      <c r="B25" s="5">
        <v>0</v>
      </c>
      <c r="C25" s="5">
        <v>8.484062237340477E-2</v>
      </c>
      <c r="D25" s="5">
        <v>8.2551327699688953E-2</v>
      </c>
      <c r="E25" s="5">
        <v>9.933248337367391E-2</v>
      </c>
      <c r="F25" s="5">
        <v>0.34345719498994332</v>
      </c>
      <c r="G25" s="5">
        <v>0.53461732169209364</v>
      </c>
      <c r="H25" s="5">
        <v>0.62492052599418901</v>
      </c>
      <c r="I25" s="5">
        <v>1.1208913413725849</v>
      </c>
      <c r="J25" s="5">
        <v>1.1506417015119126</v>
      </c>
      <c r="K25" s="5">
        <v>1.1061062431426918</v>
      </c>
      <c r="M25" s="5"/>
      <c r="N25" s="5"/>
      <c r="O25" s="5"/>
      <c r="P25" s="5"/>
      <c r="Q25" s="5"/>
    </row>
    <row r="26" spans="1:17" x14ac:dyDescent="0.35">
      <c r="A26" s="2">
        <v>34</v>
      </c>
      <c r="B26" s="5">
        <v>0</v>
      </c>
      <c r="C26" s="5">
        <v>8.4264328442994765E-2</v>
      </c>
      <c r="D26" s="5">
        <v>8.0630582644664578E-2</v>
      </c>
      <c r="E26" s="5">
        <v>9.3693944750814759E-2</v>
      </c>
      <c r="F26" s="5">
        <v>0.30823625155926693</v>
      </c>
      <c r="G26" s="5">
        <v>0.48257566439603011</v>
      </c>
      <c r="H26" s="5">
        <v>0.56687410562744645</v>
      </c>
      <c r="I26" s="5">
        <v>1.1081272860978848</v>
      </c>
      <c r="J26" s="5">
        <v>1.1471460639198248</v>
      </c>
      <c r="K26" s="5">
        <v>1.1061430246690955</v>
      </c>
      <c r="M26" s="5"/>
      <c r="N26" s="5"/>
      <c r="O26" s="5"/>
      <c r="P26" s="5"/>
      <c r="Q26" s="5"/>
    </row>
    <row r="27" spans="1:17" x14ac:dyDescent="0.35">
      <c r="A27" s="2">
        <v>35</v>
      </c>
      <c r="B27" s="5">
        <v>0</v>
      </c>
      <c r="C27" s="5">
        <v>8.3760875132841084E-2</v>
      </c>
      <c r="D27" s="5">
        <v>7.9138515307055082E-2</v>
      </c>
      <c r="E27" s="5">
        <v>8.8822191760589114E-2</v>
      </c>
      <c r="F27" s="5">
        <v>0.27277062773757449</v>
      </c>
      <c r="G27" s="5">
        <v>0.42901632903958919</v>
      </c>
      <c r="H27" s="5">
        <v>0.5065072366683333</v>
      </c>
      <c r="I27" s="5">
        <v>1.0900956853783754</v>
      </c>
      <c r="J27" s="5">
        <v>1.1420808551169512</v>
      </c>
      <c r="K27" s="5">
        <v>1.1056559618381763</v>
      </c>
      <c r="M27" s="5"/>
      <c r="N27" s="5"/>
      <c r="O27" s="5"/>
      <c r="P27" s="5"/>
      <c r="Q27" s="5"/>
    </row>
    <row r="28" spans="1:17" x14ac:dyDescent="0.35">
      <c r="A28" s="2">
        <v>36</v>
      </c>
      <c r="B28" s="5">
        <v>0</v>
      </c>
      <c r="C28" s="5">
        <v>8.3297430647810741E-2</v>
      </c>
      <c r="D28" s="5">
        <v>7.7986995596912259E-2</v>
      </c>
      <c r="E28" s="5">
        <v>8.4737188865059654E-2</v>
      </c>
      <c r="F28" s="5">
        <v>0.23805215850887995</v>
      </c>
      <c r="G28" s="5">
        <v>0.37508961125583079</v>
      </c>
      <c r="H28" s="5">
        <v>0.4448963130762606</v>
      </c>
      <c r="I28" s="5">
        <v>1.0648269548877318</v>
      </c>
      <c r="J28" s="5">
        <v>1.1345344507440149</v>
      </c>
      <c r="K28" s="5">
        <v>1.1043198712167253</v>
      </c>
      <c r="M28" s="5"/>
      <c r="N28" s="5"/>
      <c r="O28" s="5"/>
      <c r="P28" s="5"/>
      <c r="Q28" s="5"/>
    </row>
    <row r="29" spans="1:17" x14ac:dyDescent="0.35">
      <c r="A29" s="2">
        <v>37</v>
      </c>
      <c r="B29" s="5">
        <v>0</v>
      </c>
      <c r="C29" s="5">
        <v>8.2866164542270096E-2</v>
      </c>
      <c r="D29" s="5">
        <v>7.7158095515072661E-2</v>
      </c>
      <c r="E29" s="5">
        <v>8.148510075052208E-2</v>
      </c>
      <c r="F29" s="5">
        <v>0.20540941633473422</v>
      </c>
      <c r="G29" s="5">
        <v>0.32262083702216099</v>
      </c>
      <c r="H29" s="5">
        <v>0.38395949434134513</v>
      </c>
      <c r="I29" s="5">
        <v>1.0303024730056602</v>
      </c>
      <c r="J29" s="5">
        <v>1.1234794301217084</v>
      </c>
      <c r="K29" s="5">
        <v>1.1017300701205839</v>
      </c>
      <c r="M29" s="5"/>
      <c r="N29" s="5"/>
      <c r="O29" s="5"/>
      <c r="P29" s="5"/>
      <c r="Q29" s="5"/>
    </row>
    <row r="30" spans="1:17" x14ac:dyDescent="0.35">
      <c r="A30" s="2">
        <v>38</v>
      </c>
      <c r="B30" s="5">
        <v>0</v>
      </c>
      <c r="C30" s="5">
        <v>8.2500092790942781E-2</v>
      </c>
      <c r="D30" s="5">
        <v>7.6636669622668005E-2</v>
      </c>
      <c r="E30" s="5">
        <v>7.9081747271367839E-2</v>
      </c>
      <c r="F30" s="5">
        <v>0.17602581369596335</v>
      </c>
      <c r="G30" s="5">
        <v>0.27346252788138653</v>
      </c>
      <c r="H30" s="5">
        <v>0.32579331518860127</v>
      </c>
      <c r="I30" s="5">
        <v>0.98458591376559745</v>
      </c>
      <c r="J30" s="5">
        <v>1.107405660725173</v>
      </c>
      <c r="K30" s="5">
        <v>1.0972941025249425</v>
      </c>
      <c r="M30" s="5"/>
      <c r="N30" s="5"/>
      <c r="O30" s="5"/>
      <c r="P30" s="5"/>
      <c r="Q30" s="5"/>
    </row>
    <row r="31" spans="1:17" x14ac:dyDescent="0.35">
      <c r="A31" s="2">
        <v>39</v>
      </c>
      <c r="B31" s="5">
        <v>0</v>
      </c>
      <c r="C31" s="5">
        <v>8.2200093957209175E-2</v>
      </c>
      <c r="D31" s="5">
        <v>7.6399206875550241E-2</v>
      </c>
      <c r="E31" s="5">
        <v>7.7454865291268438E-2</v>
      </c>
      <c r="F31" s="5">
        <v>0.15075620773752749</v>
      </c>
      <c r="G31" s="5">
        <v>0.22920513562032294</v>
      </c>
      <c r="H31" s="5">
        <v>0.27235316093109135</v>
      </c>
      <c r="I31" s="5">
        <v>0.92638868827029297</v>
      </c>
      <c r="J31" s="5">
        <v>1.0844562301393641</v>
      </c>
      <c r="K31" s="5">
        <v>1.0901811646842494</v>
      </c>
      <c r="M31" s="5"/>
      <c r="N31" s="5"/>
      <c r="O31" s="5"/>
      <c r="P31" s="5"/>
      <c r="Q31" s="5"/>
    </row>
    <row r="32" spans="1:17" x14ac:dyDescent="0.35">
      <c r="A32" s="2">
        <v>40</v>
      </c>
      <c r="B32" s="5">
        <v>0</v>
      </c>
      <c r="C32" s="5">
        <v>8.190230505723195E-2</v>
      </c>
      <c r="D32" s="5">
        <v>7.632398282879814E-2</v>
      </c>
      <c r="E32" s="5">
        <v>7.6413545489326648E-2</v>
      </c>
      <c r="F32" s="5">
        <v>0.1300129004437017</v>
      </c>
      <c r="G32" s="5">
        <v>0.19111006959748461</v>
      </c>
      <c r="H32" s="5">
        <v>0.22527198131206927</v>
      </c>
      <c r="I32" s="5">
        <v>0.85547555103537354</v>
      </c>
      <c r="J32" s="5">
        <v>1.0523070354516544</v>
      </c>
      <c r="K32" s="5">
        <v>1.0791226785808326</v>
      </c>
      <c r="M32" s="5"/>
      <c r="N32" s="5"/>
      <c r="O32" s="5"/>
      <c r="P32" s="5"/>
      <c r="Q32" s="5"/>
    </row>
    <row r="33" spans="1:17" x14ac:dyDescent="0.35">
      <c r="A33" s="2">
        <v>41</v>
      </c>
      <c r="B33" s="5">
        <v>0</v>
      </c>
      <c r="C33" s="5">
        <v>8.1625824323488222E-2</v>
      </c>
      <c r="D33" s="5">
        <v>7.6370203150257013E-2</v>
      </c>
      <c r="E33" s="5">
        <v>7.5868819698273054E-2</v>
      </c>
      <c r="F33" s="5">
        <v>0.11385891287263196</v>
      </c>
      <c r="G33" s="5">
        <v>0.15983549961921462</v>
      </c>
      <c r="H33" s="5">
        <v>0.18564727957635732</v>
      </c>
      <c r="I33" s="5">
        <v>0.77323577053401626</v>
      </c>
      <c r="J33" s="5">
        <v>1.0088528274588249</v>
      </c>
      <c r="K33" s="5">
        <v>1.0625231883265822</v>
      </c>
      <c r="M33" s="5"/>
      <c r="N33" s="5"/>
      <c r="O33" s="5"/>
      <c r="P33" s="5"/>
      <c r="Q33" s="5"/>
    </row>
    <row r="34" spans="1:17" x14ac:dyDescent="0.35">
      <c r="A34" s="2">
        <v>42</v>
      </c>
      <c r="B34" s="5">
        <v>0</v>
      </c>
      <c r="C34" s="5">
        <v>8.1410330355430424E-2</v>
      </c>
      <c r="D34" s="5">
        <v>7.6515417658878079E-2</v>
      </c>
      <c r="E34" s="5">
        <v>7.5701930643133214E-2</v>
      </c>
      <c r="F34" s="5">
        <v>0.10186990502975325</v>
      </c>
      <c r="G34" s="5">
        <v>0.13528736342705361</v>
      </c>
      <c r="H34" s="5">
        <v>0.15383748813497272</v>
      </c>
      <c r="I34" s="5">
        <v>0.68273710901122875</v>
      </c>
      <c r="J34" s="5">
        <v>0.9523128695579931</v>
      </c>
      <c r="K34" s="5">
        <v>1.0383423083806871</v>
      </c>
      <c r="M34" s="5"/>
      <c r="N34" s="5"/>
      <c r="O34" s="5"/>
      <c r="P34" s="5"/>
      <c r="Q34" s="5"/>
    </row>
    <row r="35" spans="1:17" x14ac:dyDescent="0.35">
      <c r="A35" s="2">
        <v>43</v>
      </c>
      <c r="B35" s="5">
        <v>0</v>
      </c>
      <c r="C35" s="5">
        <v>8.1259021308539056E-2</v>
      </c>
      <c r="D35" s="5">
        <v>7.6717015967333685E-2</v>
      </c>
      <c r="E35" s="5">
        <v>7.5789328586432919E-2</v>
      </c>
      <c r="F35" s="5">
        <v>9.3425569840406772E-2</v>
      </c>
      <c r="G35" s="5">
        <v>0.11692626829331945</v>
      </c>
      <c r="H35" s="5">
        <v>0.12942008960380058</v>
      </c>
      <c r="I35" s="5">
        <v>0.58851024725423762</v>
      </c>
      <c r="J35" s="5">
        <v>0.88221380104888036</v>
      </c>
      <c r="K35" s="5">
        <v>1.0043703439882579</v>
      </c>
      <c r="M35" s="5"/>
      <c r="N35" s="5"/>
      <c r="O35" s="5"/>
      <c r="P35" s="5"/>
      <c r="Q35" s="5"/>
    </row>
    <row r="36" spans="1:17" x14ac:dyDescent="0.35">
      <c r="A36" s="2">
        <v>44</v>
      </c>
      <c r="B36" s="5">
        <v>0</v>
      </c>
      <c r="C36" s="5">
        <v>8.1124780091084758E-2</v>
      </c>
      <c r="D36" s="5">
        <v>7.6874878187804987E-2</v>
      </c>
      <c r="E36" s="5">
        <v>7.5997651698956462E-2</v>
      </c>
      <c r="F36" s="5">
        <v>8.7755440823602746E-2</v>
      </c>
      <c r="G36" s="5">
        <v>0.10379470464520822</v>
      </c>
      <c r="H36" s="5">
        <v>0.11153844175665686</v>
      </c>
      <c r="I36" s="5">
        <v>0.49562290908538631</v>
      </c>
      <c r="J36" s="5">
        <v>0.79961517555647621</v>
      </c>
      <c r="K36" s="5">
        <v>0.9584892156403505</v>
      </c>
      <c r="M36" s="5"/>
      <c r="N36" s="5"/>
      <c r="O36" s="5"/>
      <c r="P36" s="5"/>
      <c r="Q36" s="5"/>
    </row>
    <row r="37" spans="1:17" x14ac:dyDescent="0.35">
      <c r="A37" s="2">
        <v>45</v>
      </c>
      <c r="B37" s="5">
        <v>0</v>
      </c>
      <c r="C37" s="5">
        <v>8.1042338633817754E-2</v>
      </c>
      <c r="D37" s="5">
        <v>7.7011756393777137E-2</v>
      </c>
      <c r="E37" s="5">
        <v>7.6277103941689781E-2</v>
      </c>
      <c r="F37" s="5">
        <v>8.4170951148639039E-2</v>
      </c>
      <c r="G37" s="5">
        <v>9.4794597278380549E-2</v>
      </c>
      <c r="H37" s="5">
        <v>9.9038506256967501E-2</v>
      </c>
      <c r="I37" s="5">
        <v>0.40929757925828864</v>
      </c>
      <c r="J37" s="5">
        <v>0.70802266052602691</v>
      </c>
      <c r="K37" s="5">
        <v>0.8999690050485466</v>
      </c>
      <c r="M37" s="5"/>
      <c r="N37" s="5"/>
      <c r="O37" s="5"/>
      <c r="P37" s="5"/>
      <c r="Q37" s="5"/>
    </row>
    <row r="38" spans="1:17" x14ac:dyDescent="0.35">
      <c r="A38" s="2">
        <v>46</v>
      </c>
      <c r="B38" s="5">
        <v>0</v>
      </c>
      <c r="C38" s="5">
        <v>8.1075841441209467E-2</v>
      </c>
      <c r="D38" s="5">
        <v>7.7185049333774083E-2</v>
      </c>
      <c r="E38" s="5">
        <v>7.665927038186883E-2</v>
      </c>
      <c r="F38" s="5">
        <v>8.2070950154274278E-2</v>
      </c>
      <c r="G38" s="5">
        <v>8.8914337746966512E-2</v>
      </c>
      <c r="H38" s="5">
        <v>9.0723943726432499E-2</v>
      </c>
      <c r="I38" s="5">
        <v>0.33350655149062225</v>
      </c>
      <c r="J38" s="5">
        <v>0.61212294657810296</v>
      </c>
      <c r="K38" s="5">
        <v>0.8289216964885604</v>
      </c>
      <c r="M38" s="5"/>
      <c r="N38" s="5"/>
      <c r="O38" s="5"/>
      <c r="P38" s="5"/>
      <c r="Q38" s="5"/>
    </row>
    <row r="39" spans="1:17" x14ac:dyDescent="0.35">
      <c r="A39" s="2">
        <v>47</v>
      </c>
      <c r="B39" s="5">
        <v>0</v>
      </c>
      <c r="C39" s="5">
        <v>8.1153270421654114E-2</v>
      </c>
      <c r="D39" s="5">
        <v>7.7343458518017716E-2</v>
      </c>
      <c r="E39" s="5">
        <v>7.7043107743003256E-2</v>
      </c>
      <c r="F39" s="5">
        <v>8.0984706198959894E-2</v>
      </c>
      <c r="G39" s="5">
        <v>8.5273324993482114E-2</v>
      </c>
      <c r="H39" s="5">
        <v>8.5384413116288527E-2</v>
      </c>
      <c r="I39" s="5">
        <v>0.27052143801075679</v>
      </c>
      <c r="J39" s="5">
        <v>0.51744596255860631</v>
      </c>
      <c r="K39" s="5">
        <v>0.74727083762618651</v>
      </c>
      <c r="M39" s="5"/>
      <c r="N39" s="5"/>
      <c r="O39" s="5"/>
      <c r="P39" s="5"/>
      <c r="Q39" s="5"/>
    </row>
    <row r="40" spans="1:17" x14ac:dyDescent="0.35">
      <c r="A40" s="2">
        <v>48</v>
      </c>
      <c r="B40" s="5">
        <v>0</v>
      </c>
      <c r="C40" s="5">
        <v>8.1287798943842873E-2</v>
      </c>
      <c r="D40" s="5">
        <v>7.7505370809465957E-2</v>
      </c>
      <c r="E40" s="5">
        <v>7.7485432426702999E-2</v>
      </c>
      <c r="F40" s="5">
        <v>8.0549535158744232E-2</v>
      </c>
      <c r="G40" s="5">
        <v>8.3169293384343174E-2</v>
      </c>
      <c r="H40" s="5">
        <v>8.217135194443799E-2</v>
      </c>
      <c r="I40" s="5">
        <v>0.22088608023573245</v>
      </c>
      <c r="J40" s="5">
        <v>0.42936265036883198</v>
      </c>
      <c r="K40" s="5">
        <v>0.65875506971719555</v>
      </c>
      <c r="M40" s="5"/>
      <c r="N40" s="5"/>
      <c r="O40" s="5"/>
      <c r="P40" s="5"/>
      <c r="Q40" s="5"/>
    </row>
    <row r="41" spans="1:17" x14ac:dyDescent="0.35">
      <c r="A41" s="2">
        <v>49</v>
      </c>
      <c r="B41" s="5">
        <v>0</v>
      </c>
      <c r="C41" s="5">
        <v>8.1552090959072746E-2</v>
      </c>
      <c r="D41" s="5">
        <v>7.7762188759097767E-2</v>
      </c>
      <c r="E41" s="5">
        <v>7.8000570992429449E-2</v>
      </c>
      <c r="F41" s="5">
        <v>8.058602398901013E-2</v>
      </c>
      <c r="G41" s="5">
        <v>8.2147303595001858E-2</v>
      </c>
      <c r="H41" s="5">
        <v>8.039632793729054E-2</v>
      </c>
      <c r="I41" s="5">
        <v>0.18385200340342026</v>
      </c>
      <c r="J41" s="5">
        <v>0.35224463676476131</v>
      </c>
      <c r="K41" s="5">
        <v>0.56854770336707539</v>
      </c>
      <c r="M41" s="5"/>
      <c r="N41" s="5"/>
      <c r="O41" s="5"/>
      <c r="P41" s="5"/>
      <c r="Q41" s="5"/>
    </row>
    <row r="42" spans="1:17" x14ac:dyDescent="0.35">
      <c r="A42" s="2">
        <v>50</v>
      </c>
      <c r="B42" s="5">
        <v>0</v>
      </c>
      <c r="C42" s="5">
        <v>8.1943173916600956E-2</v>
      </c>
      <c r="D42" s="5">
        <v>7.8173884041079361E-2</v>
      </c>
      <c r="E42" s="5">
        <v>7.8646144691705444E-2</v>
      </c>
      <c r="F42" s="5">
        <v>8.0961676341518296E-2</v>
      </c>
      <c r="G42" s="5">
        <v>8.1840386088484637E-2</v>
      </c>
      <c r="H42" s="5">
        <v>7.9607073759645541E-2</v>
      </c>
      <c r="I42" s="5">
        <v>0.1571885287995313</v>
      </c>
      <c r="J42" s="5">
        <v>0.28778646567185528</v>
      </c>
      <c r="K42" s="5">
        <v>0.48107367620980235</v>
      </c>
      <c r="M42" s="5"/>
      <c r="N42" s="5"/>
      <c r="O42" s="5"/>
      <c r="P42" s="5"/>
      <c r="Q42" s="5"/>
    </row>
    <row r="43" spans="1:17" x14ac:dyDescent="0.35">
      <c r="A43" s="2">
        <v>51</v>
      </c>
      <c r="B43" s="5">
        <v>0</v>
      </c>
      <c r="C43" s="5">
        <v>8.2405971780112969E-2</v>
      </c>
      <c r="D43" s="5">
        <v>7.8686393124993037E-2</v>
      </c>
      <c r="E43" s="5">
        <v>7.9347932238054919E-2</v>
      </c>
      <c r="F43" s="5">
        <v>8.1566502956274795E-2</v>
      </c>
      <c r="G43" s="5">
        <v>8.2017864585082839E-2</v>
      </c>
      <c r="H43" s="5">
        <v>7.942526755114393E-2</v>
      </c>
      <c r="I43" s="5">
        <v>0.13872920625090304</v>
      </c>
      <c r="J43" s="5">
        <v>0.23658625836571412</v>
      </c>
      <c r="K43" s="5">
        <v>0.40122090455545623</v>
      </c>
      <c r="M43" s="5"/>
      <c r="N43" s="5"/>
      <c r="O43" s="5"/>
      <c r="P43" s="5"/>
      <c r="Q43" s="5"/>
    </row>
    <row r="44" spans="1:17" x14ac:dyDescent="0.35">
      <c r="A44" s="2">
        <v>52</v>
      </c>
      <c r="B44" s="5">
        <v>0</v>
      </c>
      <c r="C44" s="5">
        <v>8.3072198645236475E-2</v>
      </c>
      <c r="D44" s="5">
        <v>7.9448034764527747E-2</v>
      </c>
      <c r="E44" s="5">
        <v>8.029328435824068E-2</v>
      </c>
      <c r="F44" s="5">
        <v>8.2448964016111029E-2</v>
      </c>
      <c r="G44" s="5">
        <v>8.261604939268638E-2</v>
      </c>
      <c r="H44" s="5">
        <v>7.9792948063627009E-2</v>
      </c>
      <c r="I44" s="5">
        <v>0.12645118425301519</v>
      </c>
      <c r="J44" s="5">
        <v>0.19792325160241572</v>
      </c>
      <c r="K44" s="5">
        <v>0.33243961235131642</v>
      </c>
      <c r="M44" s="5"/>
      <c r="N44" s="5"/>
      <c r="O44" s="5"/>
      <c r="P44" s="5"/>
      <c r="Q44" s="5"/>
    </row>
    <row r="45" spans="1:17" x14ac:dyDescent="0.35">
      <c r="A45" s="2">
        <v>53</v>
      </c>
      <c r="B45" s="5">
        <v>0</v>
      </c>
      <c r="C45" s="5">
        <v>8.4039374875457332E-2</v>
      </c>
      <c r="D45" s="5">
        <v>8.0526076483920697E-2</v>
      </c>
      <c r="E45" s="5">
        <v>8.1479462812345846E-2</v>
      </c>
      <c r="F45" s="5">
        <v>8.3667820573556123E-2</v>
      </c>
      <c r="G45" s="5">
        <v>8.3591029501956071E-2</v>
      </c>
      <c r="H45" s="5">
        <v>8.0656919449901318E-2</v>
      </c>
      <c r="I45" s="5">
        <v>0.11867509424103481</v>
      </c>
      <c r="J45" s="5">
        <v>0.16995635606132217</v>
      </c>
      <c r="K45" s="5">
        <v>0.27638042295285181</v>
      </c>
      <c r="M45" s="5"/>
      <c r="N45" s="5"/>
      <c r="O45" s="5"/>
      <c r="P45" s="5"/>
      <c r="Q45" s="5"/>
    </row>
    <row r="46" spans="1:17" x14ac:dyDescent="0.35">
      <c r="A46" s="2">
        <v>54</v>
      </c>
      <c r="B46" s="5">
        <v>0</v>
      </c>
      <c r="C46" s="5">
        <v>8.533511902535576E-2</v>
      </c>
      <c r="D46" s="5">
        <v>8.1969174284846388E-2</v>
      </c>
      <c r="E46" s="5">
        <v>8.2991969213383601E-2</v>
      </c>
      <c r="F46" s="5">
        <v>8.5247019800119866E-2</v>
      </c>
      <c r="G46" s="5">
        <v>8.4951857282925772E-2</v>
      </c>
      <c r="H46" s="5">
        <v>8.2015721624638521E-2</v>
      </c>
      <c r="I46" s="5">
        <v>0.11399490652259783</v>
      </c>
      <c r="J46" s="5">
        <v>0.1504050518199378</v>
      </c>
      <c r="K46" s="5">
        <v>0.23286741780876688</v>
      </c>
      <c r="M46" s="5"/>
      <c r="N46" s="5"/>
      <c r="O46" s="5"/>
      <c r="P46" s="5"/>
      <c r="Q46" s="5"/>
    </row>
    <row r="47" spans="1:17" x14ac:dyDescent="0.35">
      <c r="A47" s="2">
        <v>55</v>
      </c>
      <c r="B47" s="5">
        <v>0</v>
      </c>
      <c r="C47" s="5">
        <v>8.7131980036057155E-2</v>
      </c>
      <c r="D47" s="5">
        <v>8.3873932792469671E-2</v>
      </c>
      <c r="E47" s="5">
        <v>8.4969066362958728E-2</v>
      </c>
      <c r="F47" s="5">
        <v>8.7319064907247848E-2</v>
      </c>
      <c r="G47" s="5">
        <v>8.6844035836597833E-2</v>
      </c>
      <c r="H47" s="5">
        <v>8.3913125898225346E-2</v>
      </c>
      <c r="I47" s="5">
        <v>0.11178567516726345</v>
      </c>
      <c r="J47" s="5">
        <v>0.13767018755219079</v>
      </c>
      <c r="K47" s="5">
        <v>0.20112995401121689</v>
      </c>
      <c r="M47" s="5"/>
      <c r="N47" s="5"/>
      <c r="O47" s="5"/>
      <c r="P47" s="5"/>
      <c r="Q47" s="5"/>
    </row>
    <row r="48" spans="1:17" x14ac:dyDescent="0.35">
      <c r="A48" s="2">
        <v>56</v>
      </c>
      <c r="B48" s="5">
        <v>0</v>
      </c>
      <c r="C48" s="5">
        <v>8.9642816043174187E-2</v>
      </c>
      <c r="D48" s="5">
        <v>8.6448527402077827E-2</v>
      </c>
      <c r="E48" s="5">
        <v>8.7588940760427642E-2</v>
      </c>
      <c r="F48" s="5">
        <v>9.0041288157647351E-2</v>
      </c>
      <c r="G48" s="5">
        <v>8.9391000314337971E-2</v>
      </c>
      <c r="H48" s="5">
        <v>8.6507904608098596E-2</v>
      </c>
      <c r="I48" s="5">
        <v>0.11147002955769024</v>
      </c>
      <c r="J48" s="5">
        <v>0.13008144208114808</v>
      </c>
      <c r="K48" s="5">
        <v>0.17918909013508014</v>
      </c>
      <c r="M48" s="5"/>
      <c r="N48" s="5"/>
      <c r="O48" s="5"/>
      <c r="P48" s="5"/>
      <c r="Q48" s="5"/>
    </row>
    <row r="49" spans="1:17" x14ac:dyDescent="0.35">
      <c r="A49" s="2">
        <v>57</v>
      </c>
      <c r="B49" s="5">
        <v>0</v>
      </c>
      <c r="C49" s="5">
        <v>9.2917588800398326E-2</v>
      </c>
      <c r="D49" s="5">
        <v>8.9764904508264395E-2</v>
      </c>
      <c r="E49" s="5">
        <v>9.0914453386061911E-2</v>
      </c>
      <c r="F49" s="5">
        <v>9.3504610016907436E-2</v>
      </c>
      <c r="G49" s="5">
        <v>9.2683904143611856E-2</v>
      </c>
      <c r="H49" s="5">
        <v>8.9908182641018616E-2</v>
      </c>
      <c r="I49" s="5">
        <v>0.11276609303991263</v>
      </c>
      <c r="J49" s="5">
        <v>0.12625660329382005</v>
      </c>
      <c r="K49" s="5">
        <v>0.16500405377188321</v>
      </c>
      <c r="M49" s="5"/>
      <c r="N49" s="5"/>
      <c r="O49" s="5"/>
      <c r="P49" s="5"/>
      <c r="Q49" s="5"/>
    </row>
    <row r="50" spans="1:17" x14ac:dyDescent="0.35">
      <c r="A50" s="2">
        <v>58</v>
      </c>
      <c r="B50" s="5">
        <v>0</v>
      </c>
      <c r="C50" s="5">
        <v>9.7109295395496772E-2</v>
      </c>
      <c r="D50" s="5">
        <v>9.4017991272080159E-2</v>
      </c>
      <c r="E50" s="5">
        <v>9.5190528912797404E-2</v>
      </c>
      <c r="F50" s="5">
        <v>9.7909852949011472E-2</v>
      </c>
      <c r="G50" s="5">
        <v>9.6926440164389963E-2</v>
      </c>
      <c r="H50" s="5">
        <v>9.4236515807668952E-2</v>
      </c>
      <c r="I50" s="5">
        <v>0.11547253176899783</v>
      </c>
      <c r="J50" s="5">
        <v>0.12539470499539024</v>
      </c>
      <c r="K50" s="5">
        <v>0.15674940858613259</v>
      </c>
      <c r="M50" s="5"/>
      <c r="N50" s="5"/>
      <c r="O50" s="5"/>
      <c r="P50" s="5"/>
      <c r="Q50" s="5"/>
    </row>
    <row r="51" spans="1:17" x14ac:dyDescent="0.35">
      <c r="A51" s="2">
        <v>59</v>
      </c>
      <c r="B51" s="5">
        <v>0</v>
      </c>
      <c r="C51" s="5">
        <v>0.10246616117218603</v>
      </c>
      <c r="D51" s="5">
        <v>9.9415919870990022E-2</v>
      </c>
      <c r="E51" s="5">
        <v>0.1006303940541685</v>
      </c>
      <c r="F51" s="5">
        <v>0.10347553133688746</v>
      </c>
      <c r="G51" s="5">
        <v>0.10230837171598874</v>
      </c>
      <c r="H51" s="5">
        <v>9.9677057738314617E-2</v>
      </c>
      <c r="I51" s="5">
        <v>0.11967890836646966</v>
      </c>
      <c r="J51" s="5">
        <v>0.12704134972264466</v>
      </c>
      <c r="K51" s="5">
        <v>0.15310833205464003</v>
      </c>
      <c r="M51" s="5"/>
      <c r="N51" s="5"/>
      <c r="O51" s="5"/>
      <c r="P51" s="5"/>
      <c r="Q51" s="5"/>
    </row>
    <row r="52" spans="1:17" x14ac:dyDescent="0.35">
      <c r="A52" s="2">
        <v>60</v>
      </c>
      <c r="B52" s="5">
        <v>0</v>
      </c>
      <c r="C52" s="5">
        <v>0.10915684705717903</v>
      </c>
      <c r="D52" s="5">
        <v>0.10616269295742015</v>
      </c>
      <c r="E52" s="5">
        <v>0.10745585913626667</v>
      </c>
      <c r="F52" s="5">
        <v>0.11044199411141739</v>
      </c>
      <c r="G52" s="5">
        <v>0.10897854157441401</v>
      </c>
      <c r="H52" s="5">
        <v>0.10646840952319897</v>
      </c>
      <c r="I52" s="5">
        <v>0.12544502641295061</v>
      </c>
      <c r="J52" s="5">
        <v>0.13092045650774953</v>
      </c>
      <c r="K52" s="5">
        <v>0.15315445815621864</v>
      </c>
      <c r="M52" s="5"/>
      <c r="N52" s="5"/>
      <c r="O52" s="5"/>
      <c r="P52" s="5"/>
      <c r="Q52" s="5"/>
    </row>
    <row r="53" spans="1:17" x14ac:dyDescent="0.35">
      <c r="A53" s="2">
        <v>61</v>
      </c>
      <c r="B53" s="5">
        <v>0</v>
      </c>
      <c r="C53" s="5">
        <v>0.11732039398986596</v>
      </c>
      <c r="D53" s="5">
        <v>0.11450962732481852</v>
      </c>
      <c r="E53" s="5">
        <v>0.11593895269030008</v>
      </c>
      <c r="F53" s="5">
        <v>0.11902989133632347</v>
      </c>
      <c r="G53" s="5">
        <v>0.11719598819543244</v>
      </c>
      <c r="H53" s="5">
        <v>0.11485136553880389</v>
      </c>
      <c r="I53" s="5">
        <v>0.1329340464027359</v>
      </c>
      <c r="J53" s="5">
        <v>0.1369320833266312</v>
      </c>
      <c r="K53" s="5">
        <v>0.15635150047306426</v>
      </c>
      <c r="M53" s="5"/>
      <c r="N53" s="5"/>
      <c r="O53" s="5"/>
      <c r="P53" s="5"/>
      <c r="Q53" s="5"/>
    </row>
    <row r="54" spans="1:17" x14ac:dyDescent="0.35">
      <c r="A54" s="2">
        <v>62</v>
      </c>
      <c r="B54" s="5">
        <v>0</v>
      </c>
      <c r="C54" s="5">
        <v>0.1273537817253603</v>
      </c>
      <c r="D54" s="5">
        <v>0.12482333898439497</v>
      </c>
      <c r="E54" s="5">
        <v>0.12642479266678902</v>
      </c>
      <c r="F54" s="5">
        <v>0.12957027701248852</v>
      </c>
      <c r="G54" s="5">
        <v>0.12730086089301601</v>
      </c>
      <c r="H54" s="5">
        <v>0.125123368734915</v>
      </c>
      <c r="I54" s="5">
        <v>0.14233510178086339</v>
      </c>
      <c r="J54" s="5">
        <v>0.14517518201851617</v>
      </c>
      <c r="K54" s="5">
        <v>0.16241933003337053</v>
      </c>
      <c r="M54" s="5"/>
      <c r="N54" s="5"/>
      <c r="O54" s="5"/>
      <c r="P54" s="5"/>
      <c r="Q54" s="5"/>
    </row>
    <row r="55" spans="1:17" x14ac:dyDescent="0.35">
      <c r="A55" s="2">
        <v>63</v>
      </c>
      <c r="B55" s="5">
        <v>0</v>
      </c>
      <c r="C55" s="5">
        <v>0.13952761500897412</v>
      </c>
      <c r="D55" s="5">
        <v>0.13733455156541788</v>
      </c>
      <c r="E55" s="5">
        <v>0.1391348395322631</v>
      </c>
      <c r="F55" s="5">
        <v>0.14229738143751416</v>
      </c>
      <c r="G55" s="5">
        <v>0.13952104714708358</v>
      </c>
      <c r="H55" s="5">
        <v>0.13758623955438637</v>
      </c>
      <c r="I55" s="5">
        <v>0.15391010720619391</v>
      </c>
      <c r="J55" s="5">
        <v>0.15578793901206769</v>
      </c>
      <c r="K55" s="5">
        <v>0.17129610252905522</v>
      </c>
      <c r="M55" s="5"/>
      <c r="N55" s="5"/>
      <c r="O55" s="5"/>
      <c r="P55" s="5"/>
      <c r="Q55" s="5"/>
    </row>
    <row r="56" spans="1:17" x14ac:dyDescent="0.35">
      <c r="A56" s="2">
        <v>64</v>
      </c>
      <c r="B56" s="5">
        <v>0</v>
      </c>
      <c r="C56" s="5">
        <v>0.15417754402554884</v>
      </c>
      <c r="D56" s="5">
        <v>0.1523968709780805</v>
      </c>
      <c r="E56" s="5">
        <v>0.15442018328511614</v>
      </c>
      <c r="F56" s="5">
        <v>0.15753447379163424</v>
      </c>
      <c r="G56" s="5">
        <v>0.15421680153944814</v>
      </c>
      <c r="H56" s="5">
        <v>0.15257115509826577</v>
      </c>
      <c r="I56" s="5">
        <v>0.16795353273309971</v>
      </c>
      <c r="J56" s="5">
        <v>0.16904102876546817</v>
      </c>
      <c r="K56" s="5">
        <v>0.18309866901523231</v>
      </c>
      <c r="M56" s="5"/>
      <c r="N56" s="5"/>
      <c r="O56" s="5"/>
      <c r="P56" s="5"/>
      <c r="Q56" s="5"/>
    </row>
    <row r="57" spans="1:17" x14ac:dyDescent="0.35">
      <c r="A57" s="2">
        <v>65</v>
      </c>
      <c r="B57" s="5">
        <v>0</v>
      </c>
      <c r="C57" s="5">
        <v>0.17175032661865666</v>
      </c>
      <c r="D57" s="5">
        <v>0.1704803917227859</v>
      </c>
      <c r="E57" s="5">
        <v>0.17267243218477207</v>
      </c>
      <c r="F57" s="5">
        <v>0.17571646417467096</v>
      </c>
      <c r="G57" s="5">
        <v>0.17180278830915338</v>
      </c>
      <c r="H57" s="5">
        <v>0.17049201176073631</v>
      </c>
      <c r="I57" s="5">
        <v>0.18490835840433684</v>
      </c>
      <c r="J57" s="5">
        <v>0.18532980074089239</v>
      </c>
      <c r="K57" s="5">
        <v>0.19806304536522321</v>
      </c>
      <c r="M57" s="5"/>
      <c r="N57" s="5"/>
      <c r="O57" s="5"/>
      <c r="P57" s="5"/>
      <c r="Q57" s="5"/>
    </row>
    <row r="58" spans="1:17" x14ac:dyDescent="0.35">
      <c r="A58" s="2">
        <v>66</v>
      </c>
      <c r="B58" s="5">
        <v>0</v>
      </c>
      <c r="C58" s="5">
        <v>0.19286662161137122</v>
      </c>
      <c r="D58" s="5">
        <v>0.19203733411350291</v>
      </c>
      <c r="E58" s="5">
        <v>0.194313534197495</v>
      </c>
      <c r="F58" s="5">
        <v>0.19734269392679565</v>
      </c>
      <c r="G58" s="5">
        <v>0.19267541477232189</v>
      </c>
      <c r="H58" s="5">
        <v>0.19180348927765623</v>
      </c>
      <c r="I58" s="5">
        <v>0.20522695479790948</v>
      </c>
      <c r="J58" s="5">
        <v>0.2051504229908806</v>
      </c>
      <c r="K58" s="5">
        <v>0.21652275727529868</v>
      </c>
      <c r="M58" s="5"/>
      <c r="N58" s="5"/>
      <c r="O58" s="5"/>
      <c r="P58" s="5"/>
      <c r="Q58" s="5"/>
    </row>
    <row r="59" spans="1:17" x14ac:dyDescent="0.35">
      <c r="A59" s="2">
        <v>67</v>
      </c>
      <c r="B59" s="5">
        <v>0</v>
      </c>
      <c r="C59" s="5">
        <v>0.21795270831916658</v>
      </c>
      <c r="D59" s="5">
        <v>0.21750442744592693</v>
      </c>
      <c r="E59" s="5">
        <v>0.21974751878173876</v>
      </c>
      <c r="F59" s="5">
        <v>0.22285969869329283</v>
      </c>
      <c r="G59" s="5">
        <v>0.2177126934264326</v>
      </c>
      <c r="H59" s="5">
        <v>0.21695174589572161</v>
      </c>
      <c r="I59" s="5">
        <v>0.22940874495042579</v>
      </c>
      <c r="J59" s="5">
        <v>0.22903764736111709</v>
      </c>
      <c r="K59" s="5">
        <v>0.23890775716136581</v>
      </c>
      <c r="M59" s="5"/>
      <c r="N59" s="5"/>
      <c r="O59" s="5"/>
      <c r="P59" s="5"/>
      <c r="Q59" s="5"/>
    </row>
    <row r="60" spans="1:17" x14ac:dyDescent="0.35">
      <c r="A60" s="2">
        <v>68</v>
      </c>
      <c r="B60" s="5">
        <v>0</v>
      </c>
      <c r="C60" s="5">
        <v>0.24746114374637712</v>
      </c>
      <c r="D60" s="5">
        <v>0.24735383016433737</v>
      </c>
      <c r="E60" s="5">
        <v>0.24945716943928492</v>
      </c>
      <c r="F60" s="5">
        <v>0.25269899190512796</v>
      </c>
      <c r="G60" s="5">
        <v>0.24737610765797868</v>
      </c>
      <c r="H60" s="5">
        <v>0.24632962311940784</v>
      </c>
      <c r="I60" s="5">
        <v>0.25794060442761896</v>
      </c>
      <c r="J60" s="5">
        <v>0.25733180421561042</v>
      </c>
      <c r="K60" s="5">
        <v>0.26561086437591724</v>
      </c>
      <c r="M60" s="5"/>
      <c r="N60" s="5"/>
      <c r="O60" s="5"/>
      <c r="P60" s="5"/>
      <c r="Q60" s="5"/>
    </row>
    <row r="61" spans="1:17" x14ac:dyDescent="0.35">
      <c r="A61" s="2">
        <v>69</v>
      </c>
      <c r="B61" s="5">
        <v>0</v>
      </c>
      <c r="C61" s="5">
        <v>0.28171677105160586</v>
      </c>
      <c r="D61" s="5">
        <v>0.28191152871302833</v>
      </c>
      <c r="E61" s="5">
        <v>0.28381060118924412</v>
      </c>
      <c r="F61" s="5">
        <v>0.28724662534619172</v>
      </c>
      <c r="G61" s="5">
        <v>0.28196583498334532</v>
      </c>
      <c r="H61" s="5">
        <v>0.28029619761920438</v>
      </c>
      <c r="I61" s="5">
        <v>0.2911122602826926</v>
      </c>
      <c r="J61" s="5">
        <v>0.2902796062700651</v>
      </c>
      <c r="K61" s="5">
        <v>0.29689453571091512</v>
      </c>
      <c r="M61" s="5"/>
      <c r="N61" s="5"/>
      <c r="O61" s="5"/>
      <c r="P61" s="5"/>
      <c r="Q61" s="5"/>
    </row>
    <row r="62" spans="1:17" x14ac:dyDescent="0.35">
      <c r="A62" s="2">
        <v>70</v>
      </c>
      <c r="B62" s="5">
        <v>0</v>
      </c>
      <c r="C62" s="5">
        <v>0.32066867517057007</v>
      </c>
      <c r="D62" s="5">
        <v>0.32110288352885291</v>
      </c>
      <c r="E62" s="5">
        <v>0.32274256059401196</v>
      </c>
      <c r="F62" s="5">
        <v>0.32636438767906201</v>
      </c>
      <c r="G62" s="5">
        <v>0.32148925275870632</v>
      </c>
      <c r="H62" s="5">
        <v>0.31885241661172098</v>
      </c>
      <c r="I62" s="5">
        <v>0.32884687420760234</v>
      </c>
      <c r="J62" s="5">
        <v>0.32781429866280132</v>
      </c>
      <c r="K62" s="5">
        <v>0.33277490316713526</v>
      </c>
      <c r="M62" s="5"/>
      <c r="N62" s="5"/>
      <c r="O62" s="5"/>
      <c r="P62" s="5"/>
      <c r="Q62" s="5"/>
    </row>
    <row r="63" spans="1:17" x14ac:dyDescent="0.35">
      <c r="A63" s="2">
        <v>71</v>
      </c>
      <c r="B63" s="5">
        <v>0</v>
      </c>
      <c r="C63" s="5">
        <v>0.36395315351478691</v>
      </c>
      <c r="D63" s="5">
        <v>0.36463896607663576</v>
      </c>
      <c r="E63" s="5">
        <v>0.36600033492535361</v>
      </c>
      <c r="F63" s="5">
        <v>0.36971685204275778</v>
      </c>
      <c r="G63" s="5">
        <v>0.36574409008769065</v>
      </c>
      <c r="H63" s="5">
        <v>0.36178995031490929</v>
      </c>
      <c r="I63" s="5">
        <v>0.37092604449053063</v>
      </c>
      <c r="J63" s="5">
        <v>0.36968112569809952</v>
      </c>
      <c r="K63" s="5">
        <v>0.37306528240044678</v>
      </c>
      <c r="M63" s="5"/>
      <c r="N63" s="5"/>
      <c r="O63" s="5"/>
      <c r="P63" s="5"/>
      <c r="Q63" s="5"/>
    </row>
    <row r="64" spans="1:17" x14ac:dyDescent="0.35">
      <c r="A64" s="2">
        <v>72</v>
      </c>
      <c r="B64" s="5">
        <v>0</v>
      </c>
      <c r="C64" s="5">
        <v>0.4109188328682683</v>
      </c>
      <c r="D64" s="5">
        <v>0.41184403043159817</v>
      </c>
      <c r="E64" s="5">
        <v>0.41302981670769678</v>
      </c>
      <c r="F64" s="5">
        <v>0.41671759156020843</v>
      </c>
      <c r="G64" s="5">
        <v>0.41306969774871533</v>
      </c>
      <c r="H64" s="5">
        <v>0.40846403322828578</v>
      </c>
      <c r="I64" s="5">
        <v>0.41672713150386875</v>
      </c>
      <c r="J64" s="5">
        <v>0.41516813703269417</v>
      </c>
      <c r="K64" s="5">
        <v>0.41716609860531051</v>
      </c>
      <c r="M64" s="5"/>
      <c r="N64" s="5"/>
      <c r="O64" s="5"/>
      <c r="P64" s="5"/>
      <c r="Q64" s="5"/>
    </row>
    <row r="65" spans="1:17" x14ac:dyDescent="0.35">
      <c r="A65" s="2">
        <v>73</v>
      </c>
      <c r="B65" s="5">
        <v>0</v>
      </c>
      <c r="C65" s="5">
        <v>0.46073163588402433</v>
      </c>
      <c r="D65" s="5">
        <v>0.46192543675489972</v>
      </c>
      <c r="E65" s="5">
        <v>0.46294283365731387</v>
      </c>
      <c r="F65" s="5">
        <v>0.46655862716832119</v>
      </c>
      <c r="G65" s="5">
        <v>0.4625069453327591</v>
      </c>
      <c r="H65" s="5">
        <v>0.45810172593880844</v>
      </c>
      <c r="I65" s="5">
        <v>0.46538712765412948</v>
      </c>
      <c r="J65" s="5">
        <v>0.46359214422479861</v>
      </c>
      <c r="K65" s="5">
        <v>0.46429501433353521</v>
      </c>
      <c r="M65" s="5"/>
      <c r="N65" s="5"/>
      <c r="O65" s="5"/>
      <c r="P65" s="5"/>
      <c r="Q65" s="5"/>
    </row>
    <row r="66" spans="1:17" x14ac:dyDescent="0.35">
      <c r="A66" s="2">
        <v>74</v>
      </c>
      <c r="B66" s="5">
        <v>0</v>
      </c>
      <c r="C66" s="5">
        <v>0.51233725702632837</v>
      </c>
      <c r="D66" s="5">
        <v>0.51374986835863512</v>
      </c>
      <c r="E66" s="5">
        <v>0.51452030135381299</v>
      </c>
      <c r="F66" s="5">
        <v>0.51810145167592647</v>
      </c>
      <c r="G66" s="5">
        <v>0.51281895527838484</v>
      </c>
      <c r="H66" s="5">
        <v>0.50962455137288543</v>
      </c>
      <c r="I66" s="5">
        <v>0.51590690697546004</v>
      </c>
      <c r="J66" s="5">
        <v>0.51396631355571887</v>
      </c>
      <c r="K66" s="5">
        <v>0.51349026037733558</v>
      </c>
      <c r="M66" s="5"/>
      <c r="N66" s="5"/>
      <c r="O66" s="5"/>
      <c r="P66" s="5"/>
      <c r="Q66" s="5"/>
    </row>
    <row r="67" spans="1:17" x14ac:dyDescent="0.35">
      <c r="A67" s="2">
        <v>75</v>
      </c>
      <c r="B67" s="5">
        <v>0</v>
      </c>
      <c r="C67" s="5">
        <v>0.56464075187958829</v>
      </c>
      <c r="D67" s="5">
        <v>0.56620675355995032</v>
      </c>
      <c r="E67" s="5">
        <v>0.56669607747293338</v>
      </c>
      <c r="F67" s="5">
        <v>0.57028976310818424</v>
      </c>
      <c r="G67" s="5">
        <v>0.56392836969642646</v>
      </c>
      <c r="H67" s="5">
        <v>0.56192106833073496</v>
      </c>
      <c r="I67" s="5">
        <v>0.56723592441505022</v>
      </c>
      <c r="J67" s="5">
        <v>0.5652166857562444</v>
      </c>
      <c r="K67" s="5">
        <v>0.563643569259074</v>
      </c>
      <c r="M67" s="5"/>
      <c r="N67" s="5"/>
      <c r="O67" s="5"/>
      <c r="P67" s="5"/>
      <c r="Q67" s="5"/>
    </row>
    <row r="68" spans="1:17" x14ac:dyDescent="0.35">
      <c r="A68" s="2">
        <v>76</v>
      </c>
      <c r="B68" s="5">
        <v>0</v>
      </c>
      <c r="C68" s="5">
        <v>0.61647739241368271</v>
      </c>
      <c r="D68" s="5">
        <v>0.61807139950043588</v>
      </c>
      <c r="E68" s="5">
        <v>0.6183112304721291</v>
      </c>
      <c r="F68" s="5">
        <v>0.62197669027645097</v>
      </c>
      <c r="G68" s="5">
        <v>0.61452057096755008</v>
      </c>
      <c r="H68" s="5">
        <v>0.61377853624368228</v>
      </c>
      <c r="I68" s="5">
        <v>0.61813889188258064</v>
      </c>
      <c r="J68" s="5">
        <v>0.61609770017004173</v>
      </c>
      <c r="K68" s="5">
        <v>0.61353163824439749</v>
      </c>
      <c r="M68" s="5"/>
      <c r="N68" s="5"/>
      <c r="O68" s="5"/>
      <c r="P68" s="5"/>
      <c r="Q68" s="5"/>
    </row>
    <row r="69" spans="1:17" x14ac:dyDescent="0.35">
      <c r="A69" s="2">
        <v>77</v>
      </c>
      <c r="B69" s="5">
        <v>0</v>
      </c>
      <c r="C69" s="5">
        <v>0.66676230745321774</v>
      </c>
      <c r="D69" s="5">
        <v>0.66829482404489771</v>
      </c>
      <c r="E69" s="5">
        <v>0.66819072702976179</v>
      </c>
      <c r="F69" s="5">
        <v>0.67204063755394139</v>
      </c>
      <c r="G69" s="5">
        <v>0.66394981502122041</v>
      </c>
      <c r="H69" s="5">
        <v>0.66415426836236879</v>
      </c>
      <c r="I69" s="5">
        <v>0.66752177058992823</v>
      </c>
      <c r="J69" s="5">
        <v>0.66561470933157529</v>
      </c>
      <c r="K69" s="5">
        <v>0.66222132159650271</v>
      </c>
      <c r="M69" s="5"/>
      <c r="N69" s="5"/>
      <c r="O69" s="5"/>
      <c r="P69" s="5"/>
      <c r="Q69" s="5"/>
    </row>
    <row r="70" spans="1:17" x14ac:dyDescent="0.35">
      <c r="A70" s="2">
        <v>78</v>
      </c>
      <c r="B70" s="5">
        <v>0</v>
      </c>
      <c r="C70" s="5">
        <v>0.71461632313803924</v>
      </c>
      <c r="D70" s="5">
        <v>0.71590256890495052</v>
      </c>
      <c r="E70" s="5">
        <v>0.71543866965483571</v>
      </c>
      <c r="F70" s="5">
        <v>0.71949603433422671</v>
      </c>
      <c r="G70" s="5">
        <v>0.71128267587113669</v>
      </c>
      <c r="H70" s="5">
        <v>0.71209097942323452</v>
      </c>
      <c r="I70" s="5">
        <v>0.71448187675514396</v>
      </c>
      <c r="J70" s="5">
        <v>0.71282669051312386</v>
      </c>
      <c r="K70" s="5">
        <v>0.70883527529632528</v>
      </c>
      <c r="M70" s="5"/>
      <c r="N70" s="5"/>
      <c r="O70" s="5"/>
      <c r="P70" s="5"/>
      <c r="Q70" s="5"/>
    </row>
    <row r="71" spans="1:17" x14ac:dyDescent="0.35">
      <c r="A71" s="2">
        <v>79</v>
      </c>
      <c r="B71" s="5">
        <v>0</v>
      </c>
      <c r="C71" s="5">
        <v>0.75904991069318006</v>
      </c>
      <c r="D71" s="5">
        <v>0.76011812182418281</v>
      </c>
      <c r="E71" s="5">
        <v>0.75931220656008336</v>
      </c>
      <c r="F71" s="5">
        <v>0.76347971744869925</v>
      </c>
      <c r="G71" s="5">
        <v>0.75565506285176465</v>
      </c>
      <c r="H71" s="5">
        <v>0.75678273811564856</v>
      </c>
      <c r="I71" s="5">
        <v>0.75818787508666263</v>
      </c>
      <c r="J71" s="5">
        <v>0.75688954538032371</v>
      </c>
      <c r="K71" s="5">
        <v>0.75245118817092149</v>
      </c>
      <c r="M71" s="5"/>
      <c r="N71" s="5"/>
      <c r="O71" s="5"/>
      <c r="P71" s="5"/>
      <c r="Q71" s="5"/>
    </row>
    <row r="72" spans="1:17" x14ac:dyDescent="0.35">
      <c r="A72" s="2">
        <v>80</v>
      </c>
      <c r="B72" s="5">
        <v>0</v>
      </c>
      <c r="C72" s="5">
        <v>0.79958810814422987</v>
      </c>
      <c r="D72" s="5">
        <v>0.80044992637738421</v>
      </c>
      <c r="E72" s="5">
        <v>0.79930513464166075</v>
      </c>
      <c r="F72" s="5">
        <v>0.80354061079868311</v>
      </c>
      <c r="G72" s="5">
        <v>0.79565026936592365</v>
      </c>
      <c r="H72" s="5">
        <v>0.79761301730657286</v>
      </c>
      <c r="I72" s="5">
        <v>0.79808293848695078</v>
      </c>
      <c r="J72" s="5">
        <v>0.79725760993843253</v>
      </c>
      <c r="K72" s="5">
        <v>0.79262503294958275</v>
      </c>
      <c r="M72" s="5"/>
      <c r="N72" s="5"/>
      <c r="O72" s="5"/>
      <c r="P72" s="5"/>
      <c r="Q72" s="5"/>
    </row>
    <row r="73" spans="1:17" x14ac:dyDescent="0.35">
      <c r="A73" s="2">
        <v>81</v>
      </c>
      <c r="B73" s="5">
        <v>0</v>
      </c>
      <c r="C73" s="5">
        <v>0.83591884609736344</v>
      </c>
      <c r="D73" s="5">
        <v>0.83659301886694271</v>
      </c>
      <c r="E73" s="5">
        <v>0.83506499142739976</v>
      </c>
      <c r="F73" s="5">
        <v>0.83938239821674721</v>
      </c>
      <c r="G73" s="5">
        <v>0.83079802156537952</v>
      </c>
      <c r="H73" s="5">
        <v>0.83422930648981897</v>
      </c>
      <c r="I73" s="5">
        <v>0.8339154766111172</v>
      </c>
      <c r="J73" s="5">
        <v>0.83363347503652618</v>
      </c>
      <c r="K73" s="5">
        <v>0.82907011436348577</v>
      </c>
      <c r="L73" s="5"/>
      <c r="M73" s="3"/>
      <c r="N73" s="3"/>
      <c r="O73" s="5"/>
      <c r="P73" s="3"/>
      <c r="Q73" s="3"/>
    </row>
    <row r="74" spans="1:17" x14ac:dyDescent="0.35">
      <c r="A74" s="2">
        <v>82</v>
      </c>
      <c r="B74" s="5">
        <v>0</v>
      </c>
      <c r="C74" s="5">
        <v>0.86801597155791299</v>
      </c>
      <c r="D74" s="5">
        <v>0.86849897286331856</v>
      </c>
      <c r="E74" s="5">
        <v>0.86662505885375751</v>
      </c>
      <c r="F74" s="5">
        <v>0.87091528019713838</v>
      </c>
      <c r="G74" s="5">
        <v>0.86091280038012397</v>
      </c>
      <c r="H74" s="5">
        <v>0.86649647158302057</v>
      </c>
      <c r="I74" s="5">
        <v>0.86564118243413191</v>
      </c>
      <c r="J74" s="5">
        <v>0.86588522297441661</v>
      </c>
      <c r="K74" s="5">
        <v>0.86144439780640591</v>
      </c>
    </row>
    <row r="75" spans="1:17" x14ac:dyDescent="0.35">
      <c r="A75" s="2">
        <v>83</v>
      </c>
      <c r="B75" s="5">
        <v>0</v>
      </c>
      <c r="C75" s="5">
        <v>0.89573490203129047</v>
      </c>
      <c r="D75" s="5">
        <v>0.89616358247609718</v>
      </c>
      <c r="E75" s="5">
        <v>0.89397432399015997</v>
      </c>
      <c r="F75" s="5">
        <v>0.89821761705271175</v>
      </c>
      <c r="G75" s="5">
        <v>0.88735731460398271</v>
      </c>
      <c r="H75" s="5">
        <v>0.89435984718276496</v>
      </c>
      <c r="I75" s="5">
        <v>0.89321275968023439</v>
      </c>
      <c r="J75" s="5">
        <v>0.89385296454593921</v>
      </c>
      <c r="K75" s="5">
        <v>0.88966989015656295</v>
      </c>
    </row>
    <row r="76" spans="1:17" x14ac:dyDescent="0.35">
      <c r="A76" s="2">
        <v>84</v>
      </c>
      <c r="B76" s="5">
        <v>0</v>
      </c>
      <c r="C76" s="5">
        <v>0.91951069027814647</v>
      </c>
      <c r="D76" s="5">
        <v>0.9198372394279366</v>
      </c>
      <c r="E76" s="5">
        <v>0.91742250816628268</v>
      </c>
      <c r="F76" s="5">
        <v>0.92157509427887874</v>
      </c>
      <c r="G76" s="5">
        <v>0.91020518255968885</v>
      </c>
      <c r="H76" s="5">
        <v>0.91811659224084596</v>
      </c>
      <c r="I76" s="5">
        <v>0.91691211794125049</v>
      </c>
      <c r="J76" s="5">
        <v>0.91780289119317449</v>
      </c>
      <c r="K76" s="5">
        <v>0.91398994808418521</v>
      </c>
    </row>
    <row r="77" spans="1:17" x14ac:dyDescent="0.35">
      <c r="A77" s="2">
        <v>85</v>
      </c>
      <c r="B77" s="5">
        <v>0</v>
      </c>
      <c r="C77" s="5">
        <v>0.93956606486797734</v>
      </c>
      <c r="D77" s="5">
        <v>0.93977184781267586</v>
      </c>
      <c r="E77" s="5">
        <v>0.93720268614053792</v>
      </c>
      <c r="F77" s="5">
        <v>0.94118718243796207</v>
      </c>
      <c r="G77" s="5">
        <v>0.92888799458855298</v>
      </c>
      <c r="H77" s="5">
        <v>0.93806139677634737</v>
      </c>
      <c r="I77" s="5">
        <v>0.93700316164875042</v>
      </c>
      <c r="J77" s="5">
        <v>0.93799255678680282</v>
      </c>
      <c r="K77" s="5">
        <v>0.93455411905279173</v>
      </c>
    </row>
    <row r="78" spans="1:17" x14ac:dyDescent="0.35">
      <c r="A78" s="2">
        <v>86</v>
      </c>
      <c r="B78" s="5">
        <v>0</v>
      </c>
      <c r="C78" s="5">
        <v>0.95620487712660851</v>
      </c>
      <c r="D78" s="5">
        <v>0.95638570404565459</v>
      </c>
      <c r="E78" s="5">
        <v>0.95380951182085649</v>
      </c>
      <c r="F78" s="5">
        <v>0.95741878072118958</v>
      </c>
      <c r="G78" s="5">
        <v>0.94491025999763312</v>
      </c>
      <c r="H78" s="5">
        <v>0.95461251399992231</v>
      </c>
      <c r="I78" s="5">
        <v>0.95383460888248917</v>
      </c>
      <c r="J78" s="5">
        <v>0.95480564101793697</v>
      </c>
      <c r="K78" s="5">
        <v>0.95175346237982306</v>
      </c>
    </row>
    <row r="79" spans="1:17" x14ac:dyDescent="0.35">
      <c r="A79" s="2">
        <v>87</v>
      </c>
      <c r="B79" s="5">
        <v>0</v>
      </c>
      <c r="C79" s="5">
        <v>0.97001737989290271</v>
      </c>
      <c r="D79" s="5">
        <v>0.97027320345706525</v>
      </c>
      <c r="E79" s="5">
        <v>0.96781508183494314</v>
      </c>
      <c r="F79" s="5">
        <v>0.97085952991221025</v>
      </c>
      <c r="G79" s="5">
        <v>0.95901381140758091</v>
      </c>
      <c r="H79" s="5">
        <v>0.9685084371808409</v>
      </c>
      <c r="I79" s="5">
        <v>0.96803675566968395</v>
      </c>
      <c r="J79" s="5">
        <v>0.96883499074009083</v>
      </c>
      <c r="K79" s="5">
        <v>0.96626186605410336</v>
      </c>
    </row>
    <row r="80" spans="1:17" x14ac:dyDescent="0.35">
      <c r="A80" s="2">
        <v>88</v>
      </c>
      <c r="B80" s="5">
        <v>0</v>
      </c>
      <c r="C80" s="5">
        <v>0.98139546741134054</v>
      </c>
      <c r="D80" s="5">
        <v>0.98159765117180531</v>
      </c>
      <c r="E80" s="5">
        <v>0.9796709616521756</v>
      </c>
      <c r="F80" s="5">
        <v>0.98188750801234725</v>
      </c>
      <c r="G80" s="5">
        <v>0.97229626052935947</v>
      </c>
      <c r="H80" s="5">
        <v>0.98018826764129718</v>
      </c>
      <c r="I80" s="5">
        <v>0.97993851957251421</v>
      </c>
      <c r="J80" s="5">
        <v>0.9805143090888262</v>
      </c>
      <c r="K80" s="5">
        <v>0.97861210019371125</v>
      </c>
    </row>
    <row r="81" spans="1:11" x14ac:dyDescent="0.35">
      <c r="A81" s="2">
        <v>89</v>
      </c>
      <c r="B81" s="5">
        <v>0</v>
      </c>
      <c r="C81" s="5">
        <v>0.99194729817973426</v>
      </c>
      <c r="D81" s="5">
        <v>0.99221087545901698</v>
      </c>
      <c r="E81" s="5">
        <v>0.9908124200018924</v>
      </c>
      <c r="F81" s="5">
        <v>0.99209490482841067</v>
      </c>
      <c r="G81" s="5">
        <v>0.98435856333122806</v>
      </c>
      <c r="H81" s="5">
        <v>0.99107558961592468</v>
      </c>
      <c r="I81" s="5">
        <v>0.99110307475768333</v>
      </c>
      <c r="J81" s="5">
        <v>0.99143190167254114</v>
      </c>
      <c r="K81" s="5">
        <v>0.99019568692663129</v>
      </c>
    </row>
    <row r="82" spans="1:11" x14ac:dyDescent="0.35">
      <c r="A82" s="2">
        <v>90</v>
      </c>
      <c r="B82" s="5">
        <v>0</v>
      </c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54C5-7E38-4A11-A0E9-78FDB7908F55}">
  <dimension ref="A1:AA71"/>
  <sheetViews>
    <sheetView workbookViewId="0">
      <selection activeCell="M16" sqref="M16"/>
    </sheetView>
  </sheetViews>
  <sheetFormatPr defaultRowHeight="14.5" x14ac:dyDescent="0.35"/>
  <sheetData>
    <row r="1" spans="1:27" x14ac:dyDescent="0.35">
      <c r="A1" s="3">
        <v>1</v>
      </c>
      <c r="B1" s="3">
        <v>1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35">
      <c r="A2" s="3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35">
      <c r="A3" s="3">
        <v>1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35">
      <c r="A4" s="3">
        <v>1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35">
      <c r="A5" s="3">
        <v>1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35">
      <c r="A6" s="3">
        <v>1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35">
      <c r="A7" s="3">
        <v>1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35">
      <c r="A8" s="3">
        <v>1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35">
      <c r="A9" s="3">
        <v>1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35">
      <c r="A10" s="3">
        <v>1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35">
      <c r="A11" s="3">
        <v>1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35">
      <c r="A12" s="3">
        <v>1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35">
      <c r="A13" s="3">
        <v>1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35">
      <c r="A14" s="3">
        <v>1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35">
      <c r="A15" s="3">
        <v>1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35">
      <c r="A16" s="3">
        <v>1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35">
      <c r="A17" s="3">
        <v>1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35">
      <c r="A18" s="3">
        <v>1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35">
      <c r="A19" s="3">
        <v>1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35">
      <c r="A20" s="3">
        <v>1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35">
      <c r="A21" s="3">
        <v>1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35">
      <c r="A22" s="3">
        <v>1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35">
      <c r="A23" s="3">
        <v>1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35">
      <c r="A24" s="3">
        <v>1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35">
      <c r="A25" s="3">
        <v>1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35">
      <c r="A26" s="3">
        <v>1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35">
      <c r="A27" s="3">
        <v>1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35">
      <c r="A28" s="3">
        <v>1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35">
      <c r="A29" s="3">
        <v>1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35">
      <c r="A30" s="3">
        <v>1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35">
      <c r="A31" s="3">
        <v>1</v>
      </c>
      <c r="B31" s="3">
        <v>1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35">
      <c r="A32" s="3">
        <v>1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35">
      <c r="A33" s="3">
        <v>1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35">
      <c r="A34" s="3">
        <v>1</v>
      </c>
      <c r="B34" s="3">
        <v>1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35">
      <c r="A35" s="3">
        <v>1</v>
      </c>
      <c r="B35" s="3">
        <v>1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35">
      <c r="A36" s="3">
        <v>1</v>
      </c>
      <c r="B36" s="3">
        <v>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35">
      <c r="A37" s="3">
        <v>1</v>
      </c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35">
      <c r="A38" s="3">
        <v>1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35">
      <c r="A39" s="3">
        <v>1</v>
      </c>
      <c r="B39" s="3">
        <v>1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35">
      <c r="A40" s="3">
        <v>1</v>
      </c>
      <c r="B40" s="3">
        <v>1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35">
      <c r="A41" s="3">
        <v>1</v>
      </c>
      <c r="B41" s="3">
        <v>1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35">
      <c r="A42" s="3">
        <v>1</v>
      </c>
      <c r="B42" s="3">
        <v>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35">
      <c r="A43" s="3">
        <v>1</v>
      </c>
      <c r="B43" s="3">
        <v>1</v>
      </c>
      <c r="C43" s="3">
        <v>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35">
      <c r="A44" s="3">
        <v>1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35">
      <c r="A45" s="3">
        <v>1</v>
      </c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35">
      <c r="A46" s="3">
        <v>1</v>
      </c>
      <c r="B46" s="3">
        <v>1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35">
      <c r="A47" s="3">
        <v>1</v>
      </c>
      <c r="B47" s="3">
        <v>1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35">
      <c r="A48" s="3">
        <v>1</v>
      </c>
      <c r="B48" s="3">
        <v>1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35">
      <c r="A49" s="3">
        <v>1</v>
      </c>
      <c r="B49" s="3">
        <v>1</v>
      </c>
      <c r="C49" s="3">
        <v>1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35">
      <c r="A50" s="3">
        <v>1</v>
      </c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35">
      <c r="A51" s="3">
        <v>1</v>
      </c>
      <c r="B51" s="3">
        <v>1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35">
      <c r="A52" s="3">
        <v>1</v>
      </c>
      <c r="B52" s="3">
        <v>1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35">
      <c r="A53" s="3">
        <v>1</v>
      </c>
      <c r="B53" s="3">
        <v>1</v>
      </c>
      <c r="C53" s="3">
        <v>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35">
      <c r="A54" s="3">
        <v>1</v>
      </c>
      <c r="B54" s="3">
        <v>1</v>
      </c>
      <c r="C54" s="3">
        <v>1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35">
      <c r="A55" s="3">
        <v>1</v>
      </c>
      <c r="B55" s="3">
        <v>1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35">
      <c r="A56" s="3">
        <v>1</v>
      </c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35">
      <c r="A57" s="3">
        <v>1</v>
      </c>
      <c r="B57" s="3">
        <v>1</v>
      </c>
      <c r="C57" s="3">
        <v>1</v>
      </c>
      <c r="D57" s="3">
        <v>1</v>
      </c>
      <c r="E57" s="3">
        <v>1</v>
      </c>
      <c r="F57" s="3">
        <v>1</v>
      </c>
      <c r="G57" s="3">
        <v>1</v>
      </c>
      <c r="H57" s="3">
        <v>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35">
      <c r="A58" s="3">
        <v>1</v>
      </c>
      <c r="B58" s="3">
        <v>1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35">
      <c r="A59" s="3">
        <v>1</v>
      </c>
      <c r="B59" s="3">
        <v>1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35">
      <c r="A60" s="3">
        <v>1</v>
      </c>
      <c r="B60" s="3">
        <v>1</v>
      </c>
      <c r="C60" s="3">
        <v>1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35">
      <c r="A61" s="3">
        <v>1</v>
      </c>
      <c r="B61" s="3">
        <v>1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35">
      <c r="A62" s="3">
        <v>1</v>
      </c>
      <c r="B62" s="3">
        <v>1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35">
      <c r="A63" s="3">
        <v>1</v>
      </c>
      <c r="B63" s="3">
        <v>1</v>
      </c>
      <c r="C63" s="3">
        <v>1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35">
      <c r="A64" s="3">
        <v>1</v>
      </c>
      <c r="B64" s="3">
        <v>1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35">
      <c r="A65" s="3">
        <v>1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35">
      <c r="A66" s="3">
        <v>1</v>
      </c>
      <c r="B66" s="3">
        <v>1</v>
      </c>
      <c r="C66" s="3">
        <v>1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35">
      <c r="A67" s="3">
        <v>1</v>
      </c>
      <c r="B67" s="3">
        <v>1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35">
      <c r="A68" s="3">
        <v>1</v>
      </c>
      <c r="B68" s="3">
        <v>1</v>
      </c>
      <c r="C68" s="3">
        <v>1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35">
      <c r="A69" s="3">
        <v>1</v>
      </c>
      <c r="B69" s="3">
        <v>1</v>
      </c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35">
      <c r="A70" s="3">
        <v>1</v>
      </c>
      <c r="B70" s="3">
        <v>1</v>
      </c>
      <c r="C70" s="3">
        <v>1</v>
      </c>
      <c r="D70" s="3">
        <v>1</v>
      </c>
      <c r="E70" s="3">
        <v>1</v>
      </c>
      <c r="F70" s="3">
        <v>1</v>
      </c>
      <c r="G70" s="3">
        <v>1</v>
      </c>
      <c r="H70" s="3">
        <v>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35">
      <c r="A71" s="3">
        <v>1</v>
      </c>
      <c r="B71" s="3">
        <v>1</v>
      </c>
      <c r="C71" s="3">
        <v>1</v>
      </c>
      <c r="D71" s="3">
        <v>1</v>
      </c>
      <c r="E71" s="3">
        <v>1</v>
      </c>
      <c r="F71" s="3">
        <v>1</v>
      </c>
      <c r="G71" s="3">
        <v>1</v>
      </c>
      <c r="H71" s="3">
        <v>1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9599-CF08-44CE-9604-2417438E103C}">
  <dimension ref="A1:H71"/>
  <sheetViews>
    <sheetView workbookViewId="0">
      <selection activeCell="E6" sqref="E6"/>
    </sheetView>
  </sheetViews>
  <sheetFormatPr defaultRowHeight="14.5" x14ac:dyDescent="0.35"/>
  <cols>
    <col min="1" max="1" width="11" bestFit="1" customWidth="1"/>
  </cols>
  <sheetData>
    <row r="1" spans="1:8" s="4" customFormat="1" x14ac:dyDescent="0.35">
      <c r="A1" s="4">
        <f>0.00000005</f>
        <v>4.9999999999999998E-8</v>
      </c>
      <c r="B1" s="4">
        <f>0.0000001</f>
        <v>9.9999999999999995E-8</v>
      </c>
      <c r="C1" s="11">
        <f>0.5*10^-6</f>
        <v>4.9999999999999998E-7</v>
      </c>
      <c r="D1" s="11">
        <f>0.8*10^-6</f>
        <v>7.9999999999999996E-7</v>
      </c>
      <c r="E1" s="11">
        <f>1*10^-6</f>
        <v>9.9999999999999995E-7</v>
      </c>
      <c r="F1" s="11">
        <f>5*10^-6</f>
        <v>4.9999999999999996E-6</v>
      </c>
      <c r="G1" s="11">
        <f>10*10^-6</f>
        <v>9.9999999999999991E-6</v>
      </c>
      <c r="H1" s="11">
        <f>20*10^-6</f>
        <v>1.9999999999999998E-5</v>
      </c>
    </row>
    <row r="2" spans="1:8" x14ac:dyDescent="0.35">
      <c r="C2" s="12"/>
      <c r="D2" s="12"/>
      <c r="E2" s="12"/>
      <c r="F2" s="12"/>
      <c r="G2" s="12"/>
      <c r="H2" s="12"/>
    </row>
    <row r="3" spans="1:8" x14ac:dyDescent="0.35">
      <c r="C3" s="12"/>
      <c r="D3" s="12"/>
      <c r="E3" s="12"/>
      <c r="F3" s="12"/>
      <c r="G3" s="12"/>
      <c r="H3" s="12"/>
    </row>
    <row r="4" spans="1:8" x14ac:dyDescent="0.35">
      <c r="C4" s="12"/>
      <c r="D4" s="12"/>
      <c r="E4" s="12"/>
      <c r="F4" s="12"/>
      <c r="G4" s="12"/>
      <c r="H4" s="12"/>
    </row>
    <row r="5" spans="1:8" x14ac:dyDescent="0.35">
      <c r="C5" s="12"/>
      <c r="D5" s="12"/>
      <c r="E5" s="12"/>
      <c r="F5" s="12"/>
      <c r="G5" s="12"/>
      <c r="H5" s="12"/>
    </row>
    <row r="6" spans="1:8" x14ac:dyDescent="0.35">
      <c r="C6" s="12"/>
      <c r="D6" s="12"/>
      <c r="E6" s="12"/>
      <c r="F6" s="12"/>
      <c r="G6" s="12"/>
      <c r="H6" s="12"/>
    </row>
    <row r="7" spans="1:8" x14ac:dyDescent="0.35">
      <c r="C7" s="12"/>
      <c r="D7" s="12"/>
      <c r="E7" s="12"/>
      <c r="F7" s="12"/>
      <c r="G7" s="12"/>
      <c r="H7" s="12"/>
    </row>
    <row r="8" spans="1:8" x14ac:dyDescent="0.35">
      <c r="C8" s="12"/>
      <c r="D8" s="12"/>
      <c r="E8" s="12"/>
      <c r="F8" s="12"/>
      <c r="G8" s="12"/>
      <c r="H8" s="12"/>
    </row>
    <row r="9" spans="1:8" x14ac:dyDescent="0.35">
      <c r="C9" s="12"/>
      <c r="D9" s="12"/>
      <c r="E9" s="12"/>
      <c r="F9" s="12"/>
      <c r="G9" s="12"/>
      <c r="H9" s="12"/>
    </row>
    <row r="10" spans="1:8" x14ac:dyDescent="0.35">
      <c r="C10" s="12"/>
      <c r="D10" s="12"/>
      <c r="E10" s="12"/>
      <c r="F10" s="12"/>
      <c r="G10" s="12"/>
      <c r="H10" s="12"/>
    </row>
    <row r="11" spans="1:8" x14ac:dyDescent="0.35">
      <c r="C11" s="12"/>
      <c r="D11" s="12"/>
      <c r="E11" s="12"/>
      <c r="F11" s="12"/>
      <c r="G11" s="12"/>
      <c r="H11" s="12"/>
    </row>
    <row r="12" spans="1:8" x14ac:dyDescent="0.35">
      <c r="C12" s="12"/>
      <c r="D12" s="12"/>
      <c r="E12" s="12"/>
      <c r="F12" s="12"/>
      <c r="G12" s="12"/>
      <c r="H12" s="12"/>
    </row>
    <row r="13" spans="1:8" x14ac:dyDescent="0.35">
      <c r="C13" s="12"/>
      <c r="D13" s="12"/>
      <c r="E13" s="12"/>
      <c r="F13" s="12"/>
      <c r="G13" s="12"/>
      <c r="H13" s="12"/>
    </row>
    <row r="14" spans="1:8" x14ac:dyDescent="0.35">
      <c r="C14" s="12"/>
      <c r="D14" s="12"/>
      <c r="E14" s="12"/>
      <c r="F14" s="12"/>
      <c r="G14" s="12"/>
      <c r="H14" s="12"/>
    </row>
    <row r="15" spans="1:8" x14ac:dyDescent="0.35">
      <c r="C15" s="12"/>
      <c r="D15" s="12"/>
      <c r="E15" s="12"/>
      <c r="F15" s="12"/>
      <c r="G15" s="12"/>
      <c r="H15" s="12"/>
    </row>
    <row r="16" spans="1:8" x14ac:dyDescent="0.35">
      <c r="C16" s="12"/>
      <c r="D16" s="12"/>
      <c r="E16" s="12"/>
      <c r="F16" s="12"/>
      <c r="G16" s="12"/>
      <c r="H16" s="12"/>
    </row>
    <row r="17" spans="3:8" x14ac:dyDescent="0.35">
      <c r="C17" s="12"/>
      <c r="D17" s="12"/>
      <c r="E17" s="12"/>
      <c r="F17" s="12"/>
      <c r="G17" s="12"/>
      <c r="H17" s="12"/>
    </row>
    <row r="18" spans="3:8" x14ac:dyDescent="0.35">
      <c r="C18" s="12"/>
      <c r="D18" s="12"/>
      <c r="E18" s="12"/>
      <c r="F18" s="12"/>
      <c r="G18" s="12"/>
      <c r="H18" s="12"/>
    </row>
    <row r="19" spans="3:8" x14ac:dyDescent="0.35">
      <c r="C19" s="12"/>
      <c r="D19" s="12"/>
      <c r="E19" s="12"/>
      <c r="F19" s="12"/>
      <c r="G19" s="12"/>
      <c r="H19" s="12"/>
    </row>
    <row r="20" spans="3:8" x14ac:dyDescent="0.35">
      <c r="C20" s="12"/>
      <c r="D20" s="12"/>
      <c r="E20" s="12"/>
      <c r="F20" s="12"/>
      <c r="G20" s="12"/>
      <c r="H20" s="12"/>
    </row>
    <row r="21" spans="3:8" x14ac:dyDescent="0.35">
      <c r="C21" s="12"/>
      <c r="D21" s="12"/>
      <c r="E21" s="12"/>
      <c r="F21" s="12"/>
      <c r="G21" s="12"/>
      <c r="H21" s="12"/>
    </row>
    <row r="22" spans="3:8" x14ac:dyDescent="0.35">
      <c r="C22" s="12"/>
      <c r="D22" s="12"/>
      <c r="E22" s="12"/>
      <c r="F22" s="12"/>
      <c r="G22" s="12"/>
      <c r="H22" s="12"/>
    </row>
    <row r="23" spans="3:8" x14ac:dyDescent="0.35">
      <c r="C23" s="12"/>
      <c r="D23" s="12"/>
      <c r="E23" s="12"/>
      <c r="F23" s="12"/>
      <c r="G23" s="12"/>
      <c r="H23" s="12"/>
    </row>
    <row r="24" spans="3:8" x14ac:dyDescent="0.35">
      <c r="C24" s="12"/>
      <c r="D24" s="12"/>
      <c r="E24" s="12"/>
      <c r="F24" s="12"/>
      <c r="G24" s="12"/>
      <c r="H24" s="12"/>
    </row>
    <row r="25" spans="3:8" x14ac:dyDescent="0.35">
      <c r="C25" s="12"/>
      <c r="D25" s="12"/>
      <c r="E25" s="12"/>
      <c r="F25" s="12"/>
      <c r="G25" s="12"/>
      <c r="H25" s="12"/>
    </row>
    <row r="26" spans="3:8" x14ac:dyDescent="0.35">
      <c r="C26" s="12"/>
      <c r="D26" s="12"/>
      <c r="E26" s="12"/>
      <c r="F26" s="12"/>
      <c r="G26" s="12"/>
      <c r="H26" s="12"/>
    </row>
    <row r="27" spans="3:8" x14ac:dyDescent="0.35">
      <c r="C27" s="12"/>
      <c r="D27" s="12"/>
      <c r="E27" s="12"/>
      <c r="F27" s="12"/>
      <c r="G27" s="12"/>
      <c r="H27" s="12"/>
    </row>
    <row r="28" spans="3:8" x14ac:dyDescent="0.35">
      <c r="C28" s="12"/>
      <c r="D28" s="12"/>
      <c r="E28" s="12"/>
      <c r="F28" s="12"/>
      <c r="G28" s="12"/>
      <c r="H28" s="12"/>
    </row>
    <row r="29" spans="3:8" x14ac:dyDescent="0.35">
      <c r="C29" s="12"/>
      <c r="D29" s="12"/>
      <c r="E29" s="12"/>
      <c r="F29" s="12"/>
      <c r="G29" s="12"/>
      <c r="H29" s="12"/>
    </row>
    <row r="30" spans="3:8" x14ac:dyDescent="0.35">
      <c r="C30" s="12"/>
      <c r="D30" s="12"/>
      <c r="E30" s="12"/>
      <c r="F30" s="12"/>
      <c r="G30" s="12"/>
      <c r="H30" s="12"/>
    </row>
    <row r="31" spans="3:8" x14ac:dyDescent="0.35">
      <c r="C31" s="12"/>
      <c r="D31" s="12"/>
      <c r="E31" s="12"/>
      <c r="F31" s="12"/>
      <c r="G31" s="12"/>
      <c r="H31" s="12"/>
    </row>
    <row r="32" spans="3:8" x14ac:dyDescent="0.35">
      <c r="C32" s="12"/>
      <c r="D32" s="12"/>
      <c r="E32" s="12"/>
      <c r="F32" s="12"/>
      <c r="G32" s="12"/>
      <c r="H32" s="12"/>
    </row>
    <row r="33" spans="3:8" x14ac:dyDescent="0.35">
      <c r="C33" s="12"/>
      <c r="D33" s="12"/>
      <c r="E33" s="12"/>
      <c r="F33" s="12"/>
      <c r="G33" s="12"/>
      <c r="H33" s="12"/>
    </row>
    <row r="34" spans="3:8" x14ac:dyDescent="0.35">
      <c r="C34" s="12"/>
      <c r="D34" s="12"/>
      <c r="E34" s="12"/>
      <c r="F34" s="12"/>
      <c r="G34" s="12"/>
      <c r="H34" s="12"/>
    </row>
    <row r="35" spans="3:8" x14ac:dyDescent="0.35">
      <c r="C35" s="12"/>
      <c r="D35" s="12"/>
      <c r="E35" s="12"/>
      <c r="F35" s="12"/>
      <c r="G35" s="12"/>
      <c r="H35" s="12"/>
    </row>
    <row r="36" spans="3:8" x14ac:dyDescent="0.35">
      <c r="C36" s="12"/>
      <c r="D36" s="12"/>
      <c r="E36" s="12"/>
      <c r="F36" s="12"/>
      <c r="G36" s="12"/>
      <c r="H36" s="12"/>
    </row>
    <row r="37" spans="3:8" x14ac:dyDescent="0.35">
      <c r="C37" s="12"/>
      <c r="D37" s="12"/>
      <c r="E37" s="12"/>
      <c r="F37" s="12"/>
      <c r="G37" s="12"/>
      <c r="H37" s="12"/>
    </row>
    <row r="38" spans="3:8" x14ac:dyDescent="0.35">
      <c r="C38" s="12"/>
      <c r="D38" s="12"/>
      <c r="E38" s="12"/>
      <c r="F38" s="12"/>
      <c r="G38" s="12"/>
      <c r="H38" s="12"/>
    </row>
    <row r="39" spans="3:8" x14ac:dyDescent="0.35">
      <c r="C39" s="12"/>
      <c r="D39" s="12"/>
      <c r="E39" s="12"/>
      <c r="F39" s="12"/>
      <c r="G39" s="12"/>
      <c r="H39" s="12"/>
    </row>
    <row r="40" spans="3:8" x14ac:dyDescent="0.35">
      <c r="C40" s="12"/>
      <c r="D40" s="12"/>
      <c r="E40" s="12"/>
      <c r="F40" s="12"/>
      <c r="G40" s="12"/>
      <c r="H40" s="12"/>
    </row>
    <row r="41" spans="3:8" x14ac:dyDescent="0.35">
      <c r="C41" s="12"/>
      <c r="D41" s="12"/>
      <c r="E41" s="12"/>
      <c r="F41" s="12"/>
      <c r="G41" s="12"/>
      <c r="H41" s="12"/>
    </row>
    <row r="42" spans="3:8" x14ac:dyDescent="0.35">
      <c r="C42" s="12"/>
      <c r="D42" s="12"/>
      <c r="E42" s="12"/>
      <c r="F42" s="12"/>
      <c r="G42" s="12"/>
      <c r="H42" s="12"/>
    </row>
    <row r="43" spans="3:8" x14ac:dyDescent="0.35">
      <c r="C43" s="12"/>
      <c r="D43" s="12"/>
      <c r="E43" s="12"/>
      <c r="F43" s="12"/>
      <c r="G43" s="12"/>
      <c r="H43" s="12"/>
    </row>
    <row r="44" spans="3:8" x14ac:dyDescent="0.35">
      <c r="C44" s="12"/>
      <c r="D44" s="12"/>
      <c r="E44" s="12"/>
      <c r="F44" s="12"/>
      <c r="G44" s="12"/>
      <c r="H44" s="12"/>
    </row>
    <row r="45" spans="3:8" x14ac:dyDescent="0.35">
      <c r="C45" s="12"/>
      <c r="D45" s="12"/>
      <c r="E45" s="12"/>
      <c r="F45" s="12"/>
      <c r="G45" s="12"/>
      <c r="H45" s="12"/>
    </row>
    <row r="46" spans="3:8" x14ac:dyDescent="0.35">
      <c r="C46" s="12"/>
      <c r="D46" s="12"/>
      <c r="E46" s="12"/>
      <c r="F46" s="12"/>
      <c r="G46" s="12"/>
      <c r="H46" s="12"/>
    </row>
    <row r="47" spans="3:8" x14ac:dyDescent="0.35">
      <c r="C47" s="12"/>
      <c r="D47" s="12"/>
      <c r="E47" s="12"/>
      <c r="F47" s="12"/>
      <c r="G47" s="12"/>
      <c r="H47" s="12"/>
    </row>
    <row r="48" spans="3:8" x14ac:dyDescent="0.35">
      <c r="C48" s="12"/>
      <c r="D48" s="12"/>
      <c r="E48" s="12"/>
      <c r="F48" s="12"/>
      <c r="G48" s="12"/>
      <c r="H48" s="12"/>
    </row>
    <row r="49" spans="3:8" x14ac:dyDescent="0.35">
      <c r="C49" s="12"/>
      <c r="D49" s="12"/>
      <c r="E49" s="12"/>
      <c r="F49" s="12"/>
      <c r="G49" s="12"/>
      <c r="H49" s="12"/>
    </row>
    <row r="50" spans="3:8" x14ac:dyDescent="0.35">
      <c r="C50" s="12"/>
      <c r="D50" s="12"/>
      <c r="E50" s="12"/>
      <c r="F50" s="12"/>
      <c r="G50" s="12"/>
      <c r="H50" s="12"/>
    </row>
    <row r="51" spans="3:8" x14ac:dyDescent="0.35">
      <c r="C51" s="12"/>
      <c r="D51" s="12"/>
      <c r="E51" s="12"/>
      <c r="F51" s="12"/>
      <c r="G51" s="12"/>
      <c r="H51" s="12"/>
    </row>
    <row r="52" spans="3:8" x14ac:dyDescent="0.35">
      <c r="C52" s="12"/>
      <c r="D52" s="12"/>
      <c r="E52" s="12"/>
      <c r="F52" s="12"/>
      <c r="G52" s="12"/>
      <c r="H52" s="12"/>
    </row>
    <row r="53" spans="3:8" x14ac:dyDescent="0.35">
      <c r="C53" s="12"/>
      <c r="D53" s="12"/>
      <c r="E53" s="12"/>
      <c r="F53" s="12"/>
      <c r="G53" s="12"/>
      <c r="H53" s="12"/>
    </row>
    <row r="54" spans="3:8" x14ac:dyDescent="0.35">
      <c r="C54" s="12"/>
      <c r="D54" s="12"/>
      <c r="E54" s="12"/>
      <c r="F54" s="12"/>
      <c r="G54" s="12"/>
      <c r="H54" s="12"/>
    </row>
    <row r="55" spans="3:8" x14ac:dyDescent="0.35">
      <c r="C55" s="12"/>
      <c r="D55" s="12"/>
      <c r="E55" s="12"/>
      <c r="F55" s="12"/>
      <c r="G55" s="12"/>
      <c r="H55" s="12"/>
    </row>
    <row r="56" spans="3:8" x14ac:dyDescent="0.35">
      <c r="C56" s="12"/>
      <c r="D56" s="12"/>
      <c r="E56" s="12"/>
      <c r="F56" s="12"/>
      <c r="G56" s="12"/>
      <c r="H56" s="12"/>
    </row>
    <row r="57" spans="3:8" x14ac:dyDescent="0.35">
      <c r="C57" s="12"/>
      <c r="D57" s="12"/>
      <c r="E57" s="12"/>
      <c r="F57" s="12"/>
      <c r="G57" s="12"/>
      <c r="H57" s="12"/>
    </row>
    <row r="58" spans="3:8" x14ac:dyDescent="0.35">
      <c r="C58" s="12"/>
      <c r="D58" s="12"/>
      <c r="E58" s="12"/>
      <c r="F58" s="12"/>
      <c r="G58" s="12"/>
      <c r="H58" s="12"/>
    </row>
    <row r="59" spans="3:8" x14ac:dyDescent="0.35">
      <c r="C59" s="12"/>
      <c r="D59" s="12"/>
      <c r="E59" s="12"/>
      <c r="F59" s="12"/>
      <c r="G59" s="12"/>
      <c r="H59" s="12"/>
    </row>
    <row r="60" spans="3:8" x14ac:dyDescent="0.35">
      <c r="C60" s="12"/>
      <c r="D60" s="12"/>
      <c r="E60" s="12"/>
      <c r="F60" s="12"/>
      <c r="G60" s="12"/>
      <c r="H60" s="12"/>
    </row>
    <row r="61" spans="3:8" x14ac:dyDescent="0.35">
      <c r="C61" s="12"/>
      <c r="D61" s="12"/>
      <c r="E61" s="12"/>
      <c r="F61" s="12"/>
      <c r="G61" s="12"/>
      <c r="H61" s="12"/>
    </row>
    <row r="62" spans="3:8" x14ac:dyDescent="0.35">
      <c r="C62" s="12"/>
      <c r="D62" s="12"/>
      <c r="E62" s="12"/>
      <c r="F62" s="12"/>
      <c r="G62" s="12"/>
      <c r="H62" s="12"/>
    </row>
    <row r="63" spans="3:8" x14ac:dyDescent="0.35">
      <c r="C63" s="12"/>
      <c r="D63" s="12"/>
      <c r="E63" s="12"/>
      <c r="F63" s="12"/>
      <c r="G63" s="12"/>
      <c r="H63" s="12"/>
    </row>
    <row r="64" spans="3:8" x14ac:dyDescent="0.35">
      <c r="C64" s="12"/>
      <c r="D64" s="12"/>
      <c r="E64" s="12"/>
      <c r="F64" s="12"/>
      <c r="G64" s="12"/>
      <c r="H64" s="12"/>
    </row>
    <row r="65" spans="3:8" x14ac:dyDescent="0.35">
      <c r="C65" s="12"/>
      <c r="D65" s="12"/>
      <c r="E65" s="12"/>
      <c r="F65" s="12"/>
      <c r="G65" s="12"/>
      <c r="H65" s="12"/>
    </row>
    <row r="66" spans="3:8" x14ac:dyDescent="0.35">
      <c r="C66" s="12"/>
      <c r="D66" s="12"/>
      <c r="E66" s="12"/>
      <c r="F66" s="12"/>
      <c r="G66" s="12"/>
      <c r="H66" s="12"/>
    </row>
    <row r="67" spans="3:8" x14ac:dyDescent="0.35">
      <c r="C67" s="12"/>
      <c r="D67" s="12"/>
      <c r="E67" s="12"/>
      <c r="F67" s="12"/>
      <c r="G67" s="12"/>
      <c r="H67" s="12"/>
    </row>
    <row r="68" spans="3:8" x14ac:dyDescent="0.35">
      <c r="C68" s="12"/>
      <c r="D68" s="12"/>
      <c r="E68" s="12"/>
      <c r="F68" s="12"/>
      <c r="G68" s="12"/>
      <c r="H68" s="12"/>
    </row>
    <row r="69" spans="3:8" x14ac:dyDescent="0.35">
      <c r="C69" s="12"/>
      <c r="D69" s="12"/>
      <c r="E69" s="12"/>
      <c r="F69" s="12"/>
      <c r="G69" s="12"/>
      <c r="H69" s="12"/>
    </row>
    <row r="70" spans="3:8" x14ac:dyDescent="0.35">
      <c r="C70" s="12"/>
      <c r="D70" s="12"/>
      <c r="E70" s="12"/>
      <c r="F70" s="12"/>
      <c r="G70" s="12"/>
      <c r="H70" s="12"/>
    </row>
    <row r="71" spans="3:8" x14ac:dyDescent="0.35">
      <c r="C71" s="12"/>
      <c r="D71" s="12"/>
      <c r="E71" s="12"/>
      <c r="F71" s="12"/>
      <c r="G71" s="12"/>
      <c r="H7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D4F3-2FE3-411B-B7E8-23FBF3622E3C}">
  <dimension ref="A1:D47"/>
  <sheetViews>
    <sheetView tabSelected="1" workbookViewId="0">
      <selection activeCell="A48" sqref="A48:A82"/>
    </sheetView>
  </sheetViews>
  <sheetFormatPr defaultRowHeight="14.5" x14ac:dyDescent="0.35"/>
  <cols>
    <col min="2" max="2" width="12.26953125" bestFit="1" customWidth="1"/>
  </cols>
  <sheetData>
    <row r="1" spans="1:4" x14ac:dyDescent="0.35">
      <c r="A1" t="s">
        <v>11</v>
      </c>
      <c r="B1" t="s">
        <v>13</v>
      </c>
      <c r="C1" t="s">
        <v>12</v>
      </c>
      <c r="D1" t="s">
        <v>14</v>
      </c>
    </row>
    <row r="2" spans="1:4" x14ac:dyDescent="0.35">
      <c r="A2">
        <v>5.0317285987104696E-8</v>
      </c>
      <c r="B2">
        <v>0</v>
      </c>
      <c r="C2" s="7">
        <v>5.1099999999999998E-12</v>
      </c>
      <c r="D2" s="4">
        <v>1.9975443120841341E-8</v>
      </c>
    </row>
    <row r="3" spans="1:4" x14ac:dyDescent="0.35">
      <c r="A3">
        <v>6.8963255984817605E-8</v>
      </c>
      <c r="B3">
        <v>0</v>
      </c>
      <c r="C3" s="7">
        <v>7.5100000000000001E-12</v>
      </c>
      <c r="D3" s="4">
        <v>2.6171951563894303E-8</v>
      </c>
    </row>
    <row r="4" spans="1:4" x14ac:dyDescent="0.35">
      <c r="A4">
        <v>9.4322172232791366E-8</v>
      </c>
      <c r="B4">
        <v>0</v>
      </c>
      <c r="C4" s="7">
        <v>1.1000000000000001E-11</v>
      </c>
      <c r="D4" s="4">
        <v>3.4292130503553009E-8</v>
      </c>
    </row>
    <row r="5" spans="1:4" x14ac:dyDescent="0.35">
      <c r="A5">
        <v>1.2874036472635997E-7</v>
      </c>
      <c r="B5">
        <v>0</v>
      </c>
      <c r="C5" s="7">
        <v>1.6E-11</v>
      </c>
      <c r="D5" s="4">
        <v>4.4894744870703479E-8</v>
      </c>
    </row>
    <row r="6" spans="1:4" x14ac:dyDescent="0.35">
      <c r="A6">
        <v>1.753597278957614E-7</v>
      </c>
      <c r="B6">
        <v>0</v>
      </c>
      <c r="C6" s="7">
        <v>2.33E-11</v>
      </c>
      <c r="D6" s="4">
        <v>5.8577315121207516E-8</v>
      </c>
    </row>
    <row r="7" spans="1:4" x14ac:dyDescent="0.35">
      <c r="A7">
        <v>2.3837918145389792E-7</v>
      </c>
      <c r="B7">
        <v>0</v>
      </c>
      <c r="C7" s="7">
        <v>3.3900000000000001E-11</v>
      </c>
      <c r="D7" s="4">
        <v>7.6535376245958877E-8</v>
      </c>
    </row>
    <row r="8" spans="1:4" x14ac:dyDescent="0.35">
      <c r="A8">
        <v>3.2339934324460765E-7</v>
      </c>
      <c r="B8">
        <v>0</v>
      </c>
      <c r="C8" s="7">
        <v>4.9099999999999997E-11</v>
      </c>
      <c r="D8" s="4">
        <v>9.9964507539161479E-8</v>
      </c>
    </row>
    <row r="9" spans="1:4" x14ac:dyDescent="0.35">
      <c r="A9">
        <v>4.3787603413664554E-7</v>
      </c>
      <c r="B9">
        <v>0</v>
      </c>
      <c r="C9" s="7">
        <v>7.1E-11</v>
      </c>
      <c r="D9" s="4">
        <v>1.2996888574111539E-7</v>
      </c>
    </row>
    <row r="10" spans="1:4" x14ac:dyDescent="0.35">
      <c r="A10">
        <v>5.9171585778599058E-7</v>
      </c>
      <c r="B10">
        <v>0</v>
      </c>
      <c r="C10" s="7">
        <v>1.02E-10</v>
      </c>
      <c r="D10" s="4">
        <v>1.6858287526803311E-7</v>
      </c>
    </row>
    <row r="11" spans="1:4" x14ac:dyDescent="0.35">
      <c r="A11">
        <v>7.9805690994925574E-7</v>
      </c>
      <c r="B11">
        <v>0</v>
      </c>
      <c r="C11" s="7">
        <v>1.4700000000000001E-10</v>
      </c>
      <c r="D11" s="4">
        <v>2.1920660181503241E-7</v>
      </c>
    </row>
    <row r="12" spans="1:4" x14ac:dyDescent="0.35">
      <c r="A12">
        <v>1.0742902789362276E-6</v>
      </c>
      <c r="B12" s="7">
        <v>1.7196942189026218E-6</v>
      </c>
      <c r="C12" s="7">
        <v>2.11E-10</v>
      </c>
      <c r="D12" s="4">
        <v>2.839480449067566E-7</v>
      </c>
    </row>
    <row r="13" spans="1:4" x14ac:dyDescent="0.35">
      <c r="A13">
        <v>1.4433941681451921E-6</v>
      </c>
      <c r="B13" s="7">
        <v>1.8163296431385807E-6</v>
      </c>
      <c r="C13" s="7">
        <v>3.0199999999999999E-10</v>
      </c>
      <c r="D13" s="4">
        <v>3.6821344688416067E-7</v>
      </c>
    </row>
    <row r="14" spans="1:4" x14ac:dyDescent="0.35">
      <c r="A14">
        <v>1.9356731736050504E-6</v>
      </c>
      <c r="B14" s="7">
        <v>2.0232351114532685E-6</v>
      </c>
      <c r="C14" s="7">
        <v>4.3000000000000001E-10</v>
      </c>
      <c r="D14" s="4">
        <v>4.7200835914584825E-7</v>
      </c>
    </row>
    <row r="15" spans="1:4" x14ac:dyDescent="0.35">
      <c r="A15">
        <v>2.591021708471574E-6</v>
      </c>
      <c r="B15" s="7">
        <v>2.323057206579109E-6</v>
      </c>
      <c r="C15" s="7">
        <v>6.1099999999999996E-10</v>
      </c>
      <c r="D15" s="4">
        <v>6.0879424230673654E-7</v>
      </c>
    </row>
    <row r="16" spans="1:4" x14ac:dyDescent="0.35">
      <c r="A16">
        <v>3.4618643251600565E-6</v>
      </c>
      <c r="B16" s="7">
        <v>2.6555454725358119E-6</v>
      </c>
      <c r="C16" s="7">
        <v>8.6600000000000001E-10</v>
      </c>
      <c r="D16" s="4">
        <v>7.8991066681583259E-7</v>
      </c>
    </row>
    <row r="17" spans="1:4" x14ac:dyDescent="0.35">
      <c r="A17">
        <v>4.616968684611592E-6</v>
      </c>
      <c r="B17" s="7">
        <v>3.0466490145855241E-6</v>
      </c>
      <c r="C17" s="7">
        <v>1.2199999999999999E-9</v>
      </c>
      <c r="D17" s="4">
        <v>1.0134230839713343E-6</v>
      </c>
    </row>
    <row r="18" spans="1:4" x14ac:dyDescent="0.35">
      <c r="A18">
        <v>6.1463815976202536E-6</v>
      </c>
      <c r="B18" s="7">
        <v>3.6549048538010565E-6</v>
      </c>
      <c r="C18" s="7">
        <v>1.7200000000000001E-9</v>
      </c>
      <c r="D18" s="4">
        <v>1.29503817360147E-6</v>
      </c>
    </row>
    <row r="19" spans="1:4" x14ac:dyDescent="0.35">
      <c r="A19">
        <v>8.1678079697389773E-6</v>
      </c>
      <c r="B19" s="7">
        <v>4.1808479683903714E-6</v>
      </c>
      <c r="C19" s="7">
        <v>2.4100000000000002E-9</v>
      </c>
      <c r="D19" s="4">
        <v>1.6601870775257004E-6</v>
      </c>
    </row>
    <row r="20" spans="1:4" x14ac:dyDescent="0.35">
      <c r="A20">
        <v>1.083484044208437E-5</v>
      </c>
      <c r="B20" s="7">
        <v>5.187764448106535E-6</v>
      </c>
      <c r="C20" s="7">
        <v>3.3799999999999999E-9</v>
      </c>
      <c r="D20" s="4">
        <v>2.1258144481535649E-6</v>
      </c>
    </row>
    <row r="21" spans="1:4" x14ac:dyDescent="0.35">
      <c r="A21">
        <v>1.434755881256453E-5</v>
      </c>
      <c r="B21" s="7">
        <v>6.0757844516073226E-6</v>
      </c>
      <c r="C21" s="7">
        <v>4.7200000000000002E-9</v>
      </c>
      <c r="D21" s="4">
        <v>2.706979270155492E-6</v>
      </c>
    </row>
    <row r="22" spans="1:4" x14ac:dyDescent="0.35">
      <c r="A22">
        <v>1.8966158905588714E-5</v>
      </c>
      <c r="B22" s="7">
        <v>7.3426744985861989E-6</v>
      </c>
      <c r="C22" s="7">
        <v>6.5599999999999997E-9</v>
      </c>
      <c r="D22" s="4">
        <v>3.4442030239965614E-6</v>
      </c>
    </row>
    <row r="23" spans="1:4" x14ac:dyDescent="0.35">
      <c r="A23">
        <v>2.5028447856874634E-5</v>
      </c>
      <c r="B23" s="7">
        <v>9.7199594507122549E-6</v>
      </c>
      <c r="C23" s="7">
        <v>9.1800000000000001E-9</v>
      </c>
      <c r="D23" s="4">
        <v>4.3764314231005101E-6</v>
      </c>
    </row>
    <row r="24" spans="1:4" x14ac:dyDescent="0.35">
      <c r="A24">
        <v>3.2972266026027753E-5</v>
      </c>
      <c r="B24" s="7">
        <v>1.1673260356347646E-5</v>
      </c>
      <c r="C24" s="7">
        <v>1.27E-8</v>
      </c>
      <c r="D24" s="4">
        <v>5.5463806110527515E-6</v>
      </c>
    </row>
    <row r="25" spans="1:4" x14ac:dyDescent="0.35">
      <c r="A25">
        <v>4.3364176407293653E-5</v>
      </c>
      <c r="B25" s="7">
        <v>1.3579176095147658E-5</v>
      </c>
      <c r="C25" s="7">
        <v>1.7500000000000001E-8</v>
      </c>
      <c r="D25" s="4">
        <v>7.0316391237640731E-6</v>
      </c>
    </row>
    <row r="26" spans="1:4" x14ac:dyDescent="0.35">
      <c r="A26">
        <v>5.6936114691675494E-5</v>
      </c>
      <c r="B26" s="7">
        <v>1.6744393386915051E-5</v>
      </c>
      <c r="C26" s="7">
        <v>2.4200000000000002E-8</v>
      </c>
      <c r="D26" s="4">
        <v>8.875299801878385E-6</v>
      </c>
    </row>
    <row r="27" spans="1:4" x14ac:dyDescent="0.35">
      <c r="A27">
        <v>7.4632134636508701E-5</v>
      </c>
      <c r="B27" s="7">
        <v>2.0081370161131788E-5</v>
      </c>
      <c r="C27" s="7">
        <v>3.3099999999999999E-8</v>
      </c>
      <c r="D27" s="4">
        <v>1.1137855200080479E-5</v>
      </c>
    </row>
    <row r="28" spans="1:4" x14ac:dyDescent="0.35">
      <c r="A28">
        <v>9.7667935870159538E-5</v>
      </c>
      <c r="B28" s="7">
        <v>2.3844780207474315E-5</v>
      </c>
      <c r="C28" s="7">
        <v>4.5499999999999997E-8</v>
      </c>
      <c r="D28" s="4">
        <v>1.4013415260688408E-5</v>
      </c>
    </row>
    <row r="29" spans="1:4" x14ac:dyDescent="0.35">
      <c r="A29">
        <v>1.2760655154196702E-4</v>
      </c>
      <c r="B29" s="7">
        <v>2.6475630281722582E-5</v>
      </c>
      <c r="C29" s="7">
        <v>6.2200000000000001E-8</v>
      </c>
      <c r="D29" s="4">
        <v>1.7553289053163999E-5</v>
      </c>
    </row>
    <row r="30" spans="1:4" x14ac:dyDescent="0.35">
      <c r="A30">
        <v>1.664544344007738E-4</v>
      </c>
      <c r="B30" s="7">
        <v>3.0310426513039892E-5</v>
      </c>
      <c r="C30" s="7">
        <v>8.5100000000000001E-8</v>
      </c>
      <c r="D30" s="4">
        <v>2.1972967916842808E-5</v>
      </c>
    </row>
    <row r="31" spans="1:4" x14ac:dyDescent="0.35">
      <c r="A31">
        <v>2.1678325265687325E-4</v>
      </c>
      <c r="B31" s="7">
        <v>3.4824884692621872E-5</v>
      </c>
      <c r="C31" s="7">
        <v>1.1600000000000001E-7</v>
      </c>
      <c r="D31" s="4">
        <v>2.7441763601369124E-5</v>
      </c>
    </row>
    <row r="32" spans="1:4" x14ac:dyDescent="0.35">
      <c r="A32">
        <v>2.818840413728775E-4</v>
      </c>
      <c r="B32" s="7">
        <v>3.9563665453482527E-5</v>
      </c>
      <c r="C32" s="7">
        <v>1.5699999999999999E-7</v>
      </c>
      <c r="D32" s="4">
        <v>3.415379921793029E-5</v>
      </c>
    </row>
    <row r="33" spans="1:4" x14ac:dyDescent="0.35">
      <c r="A33">
        <v>3.6596201251556292E-4</v>
      </c>
      <c r="B33" s="7">
        <v>4.4902678515467192E-5</v>
      </c>
      <c r="C33" s="7">
        <v>2.1299999999999999E-7</v>
      </c>
      <c r="D33" s="4">
        <v>4.2455614374564358E-5</v>
      </c>
    </row>
    <row r="34" spans="1:4" x14ac:dyDescent="0.35">
      <c r="A34">
        <v>4.7438238238697812E-4</v>
      </c>
      <c r="B34" s="7">
        <v>5.2608392725336275E-5</v>
      </c>
      <c r="C34" s="7">
        <v>2.8799999999999998E-7</v>
      </c>
      <c r="D34" s="4">
        <v>5.2585899672291044E-5</v>
      </c>
    </row>
    <row r="35" spans="1:4" x14ac:dyDescent="0.35">
      <c r="A35">
        <v>6.1398012095390886E-4</v>
      </c>
      <c r="B35" s="7">
        <v>5.9512552322811567E-5</v>
      </c>
      <c r="C35" s="7">
        <v>3.8799999999999998E-7</v>
      </c>
      <c r="D35" s="4">
        <v>6.4934421153214881E-5</v>
      </c>
    </row>
    <row r="36" spans="1:4" x14ac:dyDescent="0.35">
      <c r="A36">
        <v>7.934496760369919E-4</v>
      </c>
      <c r="B36" s="7">
        <v>6.9787587893608213E-5</v>
      </c>
      <c r="C36" s="7">
        <v>5.2200000000000004E-7</v>
      </c>
      <c r="D36" s="4">
        <v>7.9978356957212092E-5</v>
      </c>
    </row>
    <row r="37" spans="1:4" x14ac:dyDescent="0.35">
      <c r="A37">
        <v>1.0238346135818827E-3</v>
      </c>
      <c r="B37" s="7">
        <v>8.0192886209199904E-5</v>
      </c>
      <c r="C37" s="7">
        <v>7.0200000000000001E-7</v>
      </c>
      <c r="D37" s="4">
        <v>9.843199698759706E-5</v>
      </c>
    </row>
    <row r="38" spans="1:4" x14ac:dyDescent="0.35">
      <c r="A38">
        <v>1.3191419104595947E-3</v>
      </c>
      <c r="B38" s="7">
        <v>9.3931064105976758E-5</v>
      </c>
      <c r="C38" s="7">
        <v>9.4099999999999997E-7</v>
      </c>
      <c r="D38" s="4">
        <v>1.2074989352204997E-4</v>
      </c>
    </row>
    <row r="39" spans="1:4" x14ac:dyDescent="0.35">
      <c r="A39">
        <v>1.6971115418162222E-3</v>
      </c>
      <c r="B39" s="6">
        <v>1.0712116478269245E-4</v>
      </c>
      <c r="C39" s="7">
        <v>1.26E-6</v>
      </c>
      <c r="D39" s="4">
        <v>1.4749038340347988E-4</v>
      </c>
    </row>
    <row r="40" spans="1:4" x14ac:dyDescent="0.35">
      <c r="A40">
        <v>2.1801792680581425E-3</v>
      </c>
      <c r="B40" s="6">
        <v>1.2085666397866014E-4</v>
      </c>
      <c r="C40" s="7">
        <v>1.6700000000000001E-6</v>
      </c>
      <c r="D40" s="4">
        <v>1.8027729644852028E-4</v>
      </c>
    </row>
    <row r="41" spans="1:4" x14ac:dyDescent="0.35">
      <c r="A41">
        <v>2.7966794470407567E-3</v>
      </c>
      <c r="B41" s="6">
        <v>1.375747799719739E-4</v>
      </c>
      <c r="C41" s="7">
        <v>2.2199999999999999E-6</v>
      </c>
      <c r="D41" s="4">
        <v>2.1908645009813455E-4</v>
      </c>
    </row>
    <row r="42" spans="1:4" x14ac:dyDescent="0.35">
      <c r="A42">
        <v>3.5823456384131451E-3</v>
      </c>
      <c r="B42" s="6">
        <v>1.5759121362821749E-4</v>
      </c>
      <c r="C42" s="7">
        <v>2.9299999999999999E-6</v>
      </c>
      <c r="D42" s="4">
        <v>2.6612249077372698E-4</v>
      </c>
    </row>
    <row r="43" spans="1:4" x14ac:dyDescent="0.35">
      <c r="A43">
        <v>4.5821801693019344E-3</v>
      </c>
      <c r="B43" s="6">
        <v>1.8070194673601534E-4</v>
      </c>
      <c r="C43" s="7">
        <v>3.89E-6</v>
      </c>
      <c r="D43" s="4">
        <v>3.2105867397608554E-4</v>
      </c>
    </row>
    <row r="44" spans="1:4" x14ac:dyDescent="0.35">
      <c r="A44">
        <v>5.8527802253914331E-3</v>
      </c>
      <c r="B44" s="6">
        <v>2.0677030719948856E-4</v>
      </c>
      <c r="C44" s="7">
        <v>5.1000000000000003E-6</v>
      </c>
      <c r="D44" s="4">
        <v>3.8773977124914859E-4</v>
      </c>
    </row>
    <row r="45" spans="1:4" x14ac:dyDescent="0.35">
      <c r="A45">
        <v>7.4652280609624234E-3</v>
      </c>
      <c r="B45" s="6">
        <v>2.3534927681190162E-4</v>
      </c>
      <c r="C45" s="7">
        <v>6.72E-6</v>
      </c>
      <c r="D45" s="4">
        <v>4.6563996741786582E-4</v>
      </c>
    </row>
    <row r="46" spans="1:4" x14ac:dyDescent="0.35">
      <c r="A46">
        <v>9.5086773596184445E-3</v>
      </c>
      <c r="B46" s="6">
        <v>2.6567278924895916E-4</v>
      </c>
      <c r="C46" s="7">
        <v>8.8200000000000003E-6</v>
      </c>
      <c r="D46" s="4">
        <v>5.5913935352802006E-4</v>
      </c>
    </row>
    <row r="47" spans="1:4" x14ac:dyDescent="0.35">
      <c r="A47">
        <v>1.209479755630451E-2</v>
      </c>
      <c r="B47" s="6">
        <v>2.9768612876545394E-4</v>
      </c>
      <c r="C47" s="7">
        <v>1.15E-5</v>
      </c>
      <c r="D47" s="4">
        <v>6.6809273449298056E-4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234F-8297-4AF3-8DEE-DDCD5120498E}">
  <dimension ref="A1:H71"/>
  <sheetViews>
    <sheetView workbookViewId="0">
      <selection sqref="A1:H1048576"/>
    </sheetView>
  </sheetViews>
  <sheetFormatPr defaultRowHeight="14.5" x14ac:dyDescent="0.35"/>
  <cols>
    <col min="1" max="1" width="9.1796875" style="10"/>
    <col min="2" max="2" width="10.26953125" style="10" bestFit="1" customWidth="1"/>
    <col min="3" max="7" width="9.1796875" style="10"/>
    <col min="8" max="8" width="13.7265625" style="10" bestFit="1" customWidth="1"/>
  </cols>
  <sheetData>
    <row r="1" spans="1:8" x14ac:dyDescent="0.35">
      <c r="A1" s="10">
        <v>2.0559999999999999E-10</v>
      </c>
      <c r="B1" s="10">
        <v>3.15E-10</v>
      </c>
      <c r="C1" s="10">
        <v>2.66E-8</v>
      </c>
      <c r="D1" s="10">
        <v>5.7500000000000005E-8</v>
      </c>
      <c r="E1" s="10">
        <v>7.130000000000001E-8</v>
      </c>
      <c r="F1" s="10">
        <v>2.068E-7</v>
      </c>
      <c r="G1" s="10">
        <v>3.0200000000000003E-7</v>
      </c>
      <c r="H1" s="10">
        <v>4.3700000000000001E-7</v>
      </c>
    </row>
    <row r="2" spans="1:8" x14ac:dyDescent="0.35">
      <c r="A2" s="10">
        <v>2.8000000000000002E-10</v>
      </c>
      <c r="B2" s="10">
        <v>4.2999999999999996E-10</v>
      </c>
      <c r="C2" s="10">
        <v>2.9899999999999996E-8</v>
      </c>
      <c r="D2" s="10">
        <v>6.5200000000000001E-8</v>
      </c>
      <c r="E2" s="10">
        <v>8.1100000000000005E-8</v>
      </c>
      <c r="F2" s="10">
        <v>2.3700000000000002E-7</v>
      </c>
      <c r="G2" s="10">
        <v>3.46E-7</v>
      </c>
      <c r="H2" s="10">
        <v>4.9900000000000001E-7</v>
      </c>
    </row>
    <row r="3" spans="1:8" x14ac:dyDescent="0.35">
      <c r="A3" s="10">
        <v>3.8000000000000003E-10</v>
      </c>
      <c r="B3" s="10">
        <v>5.8299999999999995E-10</v>
      </c>
      <c r="C3" s="10">
        <v>3.3399999999999995E-8</v>
      </c>
      <c r="D3" s="10">
        <v>7.3700000000000005E-8</v>
      </c>
      <c r="E3" s="10">
        <v>9.1899999999999996E-8</v>
      </c>
      <c r="F3" s="10">
        <v>2.6899999999999999E-7</v>
      </c>
      <c r="G3" s="10">
        <v>3.9400000000000001E-7</v>
      </c>
      <c r="H3" s="10">
        <v>5.7099999999999991E-7</v>
      </c>
    </row>
    <row r="4" spans="1:8" x14ac:dyDescent="0.35">
      <c r="A4" s="10">
        <v>5.1400000000000009E-10</v>
      </c>
      <c r="B4" s="10">
        <v>7.8799999999999997E-10</v>
      </c>
      <c r="C4" s="10">
        <v>3.7200000000000002E-8</v>
      </c>
      <c r="D4" s="10">
        <v>8.3099999999999996E-8</v>
      </c>
      <c r="E4" s="10">
        <v>1.041E-7</v>
      </c>
      <c r="F4" s="10">
        <v>3.0699999999999998E-7</v>
      </c>
      <c r="G4" s="10">
        <v>4.4999999999999998E-7</v>
      </c>
      <c r="H4" s="10">
        <v>6.5200000000000007E-7</v>
      </c>
    </row>
    <row r="5" spans="1:8" x14ac:dyDescent="0.35">
      <c r="A5" s="10">
        <v>6.9099999999999999E-10</v>
      </c>
      <c r="B5" s="10">
        <v>1.059E-9</v>
      </c>
      <c r="C5" s="10">
        <v>4.1299999999999999E-8</v>
      </c>
      <c r="D5" s="10">
        <v>9.3599999999999991E-8</v>
      </c>
      <c r="E5" s="10">
        <v>1.175E-7</v>
      </c>
      <c r="F5" s="10">
        <v>3.5000000000000004E-7</v>
      </c>
      <c r="G5" s="10">
        <v>5.13E-7</v>
      </c>
      <c r="H5" s="10">
        <v>7.4299999999999992E-7</v>
      </c>
    </row>
    <row r="6" spans="1:8" x14ac:dyDescent="0.35">
      <c r="A6" s="10">
        <v>9.2300000000000002E-10</v>
      </c>
      <c r="B6" s="10">
        <v>1.417E-9</v>
      </c>
      <c r="C6" s="10">
        <v>4.5699999999999999E-8</v>
      </c>
      <c r="D6" s="10">
        <v>1.0510000000000001E-7</v>
      </c>
      <c r="E6" s="10">
        <v>1.3219999999999998E-7</v>
      </c>
      <c r="F6" s="10">
        <v>3.9800000000000004E-7</v>
      </c>
      <c r="G6" s="10">
        <v>5.8500000000000001E-7</v>
      </c>
      <c r="H6" s="10">
        <v>8.47E-7</v>
      </c>
    </row>
    <row r="7" spans="1:8" x14ac:dyDescent="0.35">
      <c r="A7" s="10">
        <v>1.2279999999999999E-9</v>
      </c>
      <c r="B7" s="10">
        <v>1.8869999999999998E-9</v>
      </c>
      <c r="C7" s="10">
        <v>5.02E-8</v>
      </c>
      <c r="D7" s="10">
        <v>1.175E-7</v>
      </c>
      <c r="E7" s="10">
        <v>1.4849999999999999E-7</v>
      </c>
      <c r="F7" s="10">
        <v>4.51E-7</v>
      </c>
      <c r="G7" s="10">
        <v>6.6400000000000002E-7</v>
      </c>
      <c r="H7" s="10">
        <v>9.64E-7</v>
      </c>
    </row>
    <row r="8" spans="1:8" x14ac:dyDescent="0.35">
      <c r="A8" s="10">
        <v>1.6269999999999999E-9</v>
      </c>
      <c r="B8" s="10">
        <v>2.5000000000000001E-9</v>
      </c>
      <c r="C8" s="10">
        <v>5.5099999999999997E-8</v>
      </c>
      <c r="D8" s="10">
        <v>1.31E-7</v>
      </c>
      <c r="E8" s="10">
        <v>1.6619999999999999E-7</v>
      </c>
      <c r="F8" s="10">
        <v>5.1099999999999996E-7</v>
      </c>
      <c r="G8" s="10">
        <v>7.54E-7</v>
      </c>
      <c r="H8" s="10">
        <v>1.096E-6</v>
      </c>
    </row>
    <row r="9" spans="1:8" x14ac:dyDescent="0.35">
      <c r="A9" s="10">
        <v>2.1390000000000002E-9</v>
      </c>
      <c r="B9" s="10">
        <v>3.2999999999999998E-9</v>
      </c>
      <c r="C9" s="10">
        <v>6.0199999999999996E-8</v>
      </c>
      <c r="D9" s="10">
        <v>1.4539999999999999E-7</v>
      </c>
      <c r="E9" s="10">
        <v>1.8540000000000001E-7</v>
      </c>
      <c r="F9" s="10">
        <v>5.7800000000000001E-7</v>
      </c>
      <c r="G9" s="10">
        <v>8.5499999999999997E-7</v>
      </c>
      <c r="H9" s="10">
        <v>1.2439999999999999E-6</v>
      </c>
    </row>
    <row r="10" spans="1:8" x14ac:dyDescent="0.35">
      <c r="A10" s="10">
        <v>2.81E-9</v>
      </c>
      <c r="B10" s="10">
        <v>4.32E-9</v>
      </c>
      <c r="C10" s="10">
        <v>6.5799999999999994E-8</v>
      </c>
      <c r="D10" s="10">
        <v>1.607E-7</v>
      </c>
      <c r="E10" s="10">
        <v>2.0600000000000002E-7</v>
      </c>
      <c r="F10" s="10">
        <v>6.5299999999999993E-7</v>
      </c>
      <c r="G10" s="10">
        <v>9.6899999999999996E-7</v>
      </c>
      <c r="H10" s="10">
        <v>1.4109999999999999E-6</v>
      </c>
    </row>
    <row r="11" spans="1:8" x14ac:dyDescent="0.35">
      <c r="A11" s="10">
        <v>3.6399999999999998E-9</v>
      </c>
      <c r="B11" s="10">
        <v>5.62E-9</v>
      </c>
      <c r="C11" s="10">
        <v>7.1600000000000006E-8</v>
      </c>
      <c r="D11" s="10">
        <v>1.7700000000000001E-7</v>
      </c>
      <c r="E11" s="10">
        <v>2.28E-7</v>
      </c>
      <c r="F11" s="10">
        <v>7.3600000000000003E-7</v>
      </c>
      <c r="G11" s="10">
        <v>1.094E-6</v>
      </c>
      <c r="H11" s="10">
        <v>1.598E-6</v>
      </c>
    </row>
    <row r="12" spans="1:8" x14ac:dyDescent="0.35">
      <c r="A12" s="10">
        <v>4.7100000000000005E-9</v>
      </c>
      <c r="B12" s="10">
        <v>7.2799999999999997E-9</v>
      </c>
      <c r="C12" s="10">
        <v>7.8199999999999999E-8</v>
      </c>
      <c r="D12" s="10">
        <v>1.9400000000000002E-7</v>
      </c>
      <c r="E12" s="10">
        <v>2.5100000000000001E-7</v>
      </c>
      <c r="F12" s="10">
        <v>8.2799999999999995E-7</v>
      </c>
      <c r="G12" s="10">
        <v>1.235E-6</v>
      </c>
      <c r="H12" s="10">
        <v>1.8110000000000001E-6</v>
      </c>
    </row>
    <row r="13" spans="1:8" x14ac:dyDescent="0.35">
      <c r="A13" s="10">
        <v>6.0399999999999998E-9</v>
      </c>
      <c r="B13" s="10">
        <v>9.3599999999999991E-9</v>
      </c>
      <c r="C13" s="10">
        <v>8.5500000000000005E-8</v>
      </c>
      <c r="D13" s="10">
        <v>2.1100000000000002E-7</v>
      </c>
      <c r="E13" s="10">
        <v>2.7599999999999998E-7</v>
      </c>
      <c r="F13" s="10">
        <v>9.2799999999999995E-7</v>
      </c>
      <c r="G13" s="10">
        <v>1.3909999999999999E-6</v>
      </c>
      <c r="H13" s="10">
        <v>2.04E-6</v>
      </c>
    </row>
    <row r="14" spans="1:8" x14ac:dyDescent="0.35">
      <c r="A14" s="10">
        <v>7.6700000000000002E-9</v>
      </c>
      <c r="B14" s="10">
        <v>1.193E-8</v>
      </c>
      <c r="C14" s="10">
        <v>9.39E-8</v>
      </c>
      <c r="D14" s="10">
        <v>2.29E-7</v>
      </c>
      <c r="E14" s="10">
        <v>3.0100000000000001E-7</v>
      </c>
      <c r="F14" s="10">
        <v>1.0380000000000001E-6</v>
      </c>
      <c r="G14" s="10">
        <v>1.5630000000000001E-6</v>
      </c>
      <c r="H14" s="10">
        <v>2.3E-6</v>
      </c>
    </row>
    <row r="15" spans="1:8" x14ac:dyDescent="0.35">
      <c r="A15" s="10">
        <v>9.6600000000000001E-9</v>
      </c>
      <c r="B15" s="10">
        <v>1.51E-8</v>
      </c>
      <c r="C15" s="10">
        <v>1.036E-7</v>
      </c>
      <c r="D15" s="10">
        <v>2.48E-7</v>
      </c>
      <c r="E15" s="10">
        <v>3.27E-7</v>
      </c>
      <c r="F15" s="10">
        <v>1.159E-6</v>
      </c>
      <c r="G15" s="10">
        <v>1.7519999999999999E-6</v>
      </c>
      <c r="H15" s="10">
        <v>2.5899999999999998E-6</v>
      </c>
    </row>
    <row r="16" spans="1:8" x14ac:dyDescent="0.35">
      <c r="A16" s="10">
        <v>1.2040000000000001E-8</v>
      </c>
      <c r="B16" s="10">
        <v>1.8910000000000002E-8</v>
      </c>
      <c r="C16" s="10">
        <v>1.149E-7</v>
      </c>
      <c r="D16" s="10">
        <v>2.67E-7</v>
      </c>
      <c r="E16" s="10">
        <v>3.5499999999999999E-7</v>
      </c>
      <c r="F16" s="10">
        <v>1.2890000000000001E-6</v>
      </c>
      <c r="G16" s="10">
        <v>1.9639999999999997E-6</v>
      </c>
      <c r="H16" s="10">
        <v>2.9100000000000001E-6</v>
      </c>
    </row>
    <row r="17" spans="1:8" x14ac:dyDescent="0.35">
      <c r="A17" s="10">
        <v>1.481E-8</v>
      </c>
      <c r="B17" s="10">
        <v>2.3399999999999998E-8</v>
      </c>
      <c r="C17" s="10">
        <v>1.2779999999999999E-7</v>
      </c>
      <c r="D17" s="10">
        <v>2.8500000000000002E-7</v>
      </c>
      <c r="E17" s="10">
        <v>3.8099999999999998E-7</v>
      </c>
      <c r="F17" s="10">
        <v>1.429E-6</v>
      </c>
      <c r="G17" s="10">
        <v>2.1799999999999999E-6</v>
      </c>
      <c r="H17" s="10">
        <v>3.2500000000000002E-6</v>
      </c>
    </row>
    <row r="18" spans="1:8" x14ac:dyDescent="0.35">
      <c r="A18" s="10">
        <v>1.798E-8</v>
      </c>
      <c r="B18" s="10">
        <v>2.88E-8</v>
      </c>
      <c r="C18" s="10">
        <v>1.427E-7</v>
      </c>
      <c r="D18" s="10">
        <v>3.0499999999999999E-7</v>
      </c>
      <c r="E18" s="10">
        <v>4.08E-7</v>
      </c>
      <c r="F18" s="10">
        <v>1.578E-6</v>
      </c>
      <c r="G18" s="10">
        <v>2.43E-6</v>
      </c>
      <c r="H18" s="10">
        <v>3.6400000000000003E-6</v>
      </c>
    </row>
    <row r="19" spans="1:8" x14ac:dyDescent="0.35">
      <c r="A19" s="10">
        <v>2.1500000000000001E-8</v>
      </c>
      <c r="B19" s="10">
        <v>3.47E-8</v>
      </c>
      <c r="C19" s="10">
        <v>1.5969999999999998E-7</v>
      </c>
      <c r="D19" s="10">
        <v>3.2500000000000001E-7</v>
      </c>
      <c r="E19" s="10">
        <v>4.3500000000000002E-7</v>
      </c>
      <c r="F19" s="10">
        <v>1.7370000000000001E-6</v>
      </c>
      <c r="G19" s="10">
        <v>2.7E-6</v>
      </c>
      <c r="H19" s="10">
        <v>4.0600000000000001E-6</v>
      </c>
    </row>
    <row r="20" spans="1:8" x14ac:dyDescent="0.35">
      <c r="A20" s="10">
        <v>2.5200000000000001E-8</v>
      </c>
      <c r="B20" s="10">
        <v>4.1299999999999999E-8</v>
      </c>
      <c r="C20" s="10">
        <v>1.786E-7</v>
      </c>
      <c r="D20" s="10">
        <v>3.4499999999999998E-7</v>
      </c>
      <c r="E20" s="10">
        <v>4.6199999999999998E-7</v>
      </c>
      <c r="F20" s="10">
        <v>1.9040000000000001E-6</v>
      </c>
      <c r="G20" s="10">
        <v>2.9800000000000003E-6</v>
      </c>
      <c r="H20" s="10">
        <v>4.5199999999999999E-6</v>
      </c>
    </row>
    <row r="21" spans="1:8" x14ac:dyDescent="0.35">
      <c r="A21" s="10">
        <v>2.9000000000000002E-8</v>
      </c>
      <c r="B21" s="10">
        <v>4.8499999999999998E-8</v>
      </c>
      <c r="C21" s="10">
        <v>1.9999999999999999E-7</v>
      </c>
      <c r="D21" s="10">
        <v>3.6899999999999998E-7</v>
      </c>
      <c r="E21" s="10">
        <v>4.89E-7</v>
      </c>
      <c r="F21" s="10">
        <v>2.08E-6</v>
      </c>
      <c r="G21" s="10">
        <v>3.2899999999999998E-6</v>
      </c>
      <c r="H21" s="10">
        <v>5.0100000000000003E-6</v>
      </c>
    </row>
    <row r="22" spans="1:8" x14ac:dyDescent="0.35">
      <c r="A22" s="10">
        <v>3.2800000000000003E-8</v>
      </c>
      <c r="B22" s="10">
        <v>5.5899999999999998E-8</v>
      </c>
      <c r="C22" s="10">
        <v>2.22E-7</v>
      </c>
      <c r="D22" s="10">
        <v>3.9299999999999999E-7</v>
      </c>
      <c r="E22" s="10">
        <v>5.1700000000000009E-7</v>
      </c>
      <c r="F22" s="10">
        <v>2.26E-6</v>
      </c>
      <c r="G22" s="10">
        <v>3.6100000000000002E-6</v>
      </c>
      <c r="H22" s="10">
        <v>5.5500000000000002E-6</v>
      </c>
    </row>
    <row r="23" spans="1:8" x14ac:dyDescent="0.35">
      <c r="A23" s="10">
        <v>3.62E-8</v>
      </c>
      <c r="B23" s="10">
        <v>6.3100000000000003E-8</v>
      </c>
      <c r="C23" s="10">
        <v>2.48E-7</v>
      </c>
      <c r="D23" s="10">
        <v>4.1900000000000003E-7</v>
      </c>
      <c r="E23" s="10">
        <v>5.4599999999999994E-7</v>
      </c>
      <c r="F23" s="10">
        <v>2.4400000000000004E-6</v>
      </c>
      <c r="G23" s="10">
        <v>3.9500000000000003E-6</v>
      </c>
      <c r="H23" s="10">
        <v>6.1099999999999999E-6</v>
      </c>
    </row>
    <row r="24" spans="1:8" x14ac:dyDescent="0.35">
      <c r="A24" s="10">
        <v>3.9300000000000001E-8</v>
      </c>
      <c r="B24" s="10">
        <v>7.0099999999999999E-8</v>
      </c>
      <c r="C24" s="10">
        <v>2.7399999999999999E-7</v>
      </c>
      <c r="D24" s="10">
        <v>4.4900000000000001E-7</v>
      </c>
      <c r="E24" s="10">
        <v>5.7800000000000001E-7</v>
      </c>
      <c r="F24" s="10">
        <v>2.6300000000000002E-6</v>
      </c>
      <c r="G24" s="10">
        <v>4.3100000000000002E-6</v>
      </c>
      <c r="H24" s="10">
        <v>6.72E-6</v>
      </c>
    </row>
    <row r="25" spans="1:8" x14ac:dyDescent="0.35">
      <c r="A25" s="10">
        <v>4.1800000000000004E-8</v>
      </c>
      <c r="B25" s="10">
        <v>7.6300000000000002E-8</v>
      </c>
      <c r="C25" s="10">
        <v>3.0100000000000001E-7</v>
      </c>
      <c r="D25" s="10">
        <v>4.8100000000000003E-7</v>
      </c>
      <c r="E25" s="10">
        <v>6.1099999999999995E-7</v>
      </c>
      <c r="F25" s="10">
        <v>2.8100000000000002E-6</v>
      </c>
      <c r="G25" s="10">
        <v>4.6700000000000002E-6</v>
      </c>
      <c r="H25" s="10">
        <v>7.3600000000000007E-6</v>
      </c>
    </row>
    <row r="26" spans="1:8" x14ac:dyDescent="0.35">
      <c r="A26" s="10">
        <v>4.3799999999999995E-8</v>
      </c>
      <c r="B26" s="10">
        <v>8.1699999999999997E-8</v>
      </c>
      <c r="C26" s="10">
        <v>3.2799999999999997E-7</v>
      </c>
      <c r="D26" s="10">
        <v>5.1499999999999994E-7</v>
      </c>
      <c r="E26" s="10">
        <v>6.469999999999999E-7</v>
      </c>
      <c r="F26" s="10">
        <v>3.0000000000000001E-6</v>
      </c>
      <c r="G26" s="10">
        <v>5.0300000000000001E-6</v>
      </c>
      <c r="H26" s="10">
        <v>8.0299999999999994E-6</v>
      </c>
    </row>
    <row r="27" spans="1:8" x14ac:dyDescent="0.35">
      <c r="A27" s="10">
        <v>4.5300000000000002E-8</v>
      </c>
      <c r="B27" s="10">
        <v>8.6000000000000002E-8</v>
      </c>
      <c r="C27" s="10">
        <v>3.5499999999999999E-7</v>
      </c>
      <c r="D27" s="10">
        <v>5.5000000000000003E-7</v>
      </c>
      <c r="E27" s="10">
        <v>6.8500000000000001E-7</v>
      </c>
      <c r="F27" s="10">
        <v>3.18E-6</v>
      </c>
      <c r="G27" s="10">
        <v>5.4099999999999999E-6</v>
      </c>
      <c r="H27" s="10">
        <v>8.7200000000000012E-6</v>
      </c>
    </row>
    <row r="28" spans="1:8" x14ac:dyDescent="0.35">
      <c r="A28" s="10">
        <v>4.6499999999999999E-8</v>
      </c>
      <c r="B28" s="10">
        <v>8.9500000000000001E-8</v>
      </c>
      <c r="C28" s="10">
        <v>3.8000000000000001E-7</v>
      </c>
      <c r="D28" s="10">
        <v>5.8400000000000004E-7</v>
      </c>
      <c r="E28" s="10">
        <v>7.23E-7</v>
      </c>
      <c r="F28" s="10">
        <v>3.3400000000000002E-6</v>
      </c>
      <c r="G28" s="10">
        <v>5.7900000000000005E-6</v>
      </c>
      <c r="H28" s="10">
        <v>9.4400000000000011E-6</v>
      </c>
    </row>
    <row r="29" spans="1:8" x14ac:dyDescent="0.35">
      <c r="A29" s="10">
        <v>4.73E-8</v>
      </c>
      <c r="B29" s="10">
        <v>9.2099999999999998E-8</v>
      </c>
      <c r="C29" s="10">
        <v>4.03E-7</v>
      </c>
      <c r="D29" s="10">
        <v>6.1800000000000005E-7</v>
      </c>
      <c r="E29" s="10">
        <v>7.6199999999999997E-7</v>
      </c>
      <c r="F29" s="10">
        <v>3.4999999999999999E-6</v>
      </c>
      <c r="G29" s="10">
        <v>6.1600000000000003E-6</v>
      </c>
      <c r="H29" s="10">
        <v>1.0180000000000001E-5</v>
      </c>
    </row>
    <row r="30" spans="1:8" x14ac:dyDescent="0.35">
      <c r="A30" s="10">
        <v>4.7899999999999999E-8</v>
      </c>
      <c r="B30" s="10">
        <v>9.3999999999999995E-8</v>
      </c>
      <c r="C30" s="10">
        <v>4.2300000000000002E-7</v>
      </c>
      <c r="D30" s="10">
        <v>6.5000000000000002E-7</v>
      </c>
      <c r="E30" s="10">
        <v>7.990000000000001E-7</v>
      </c>
      <c r="F30" s="10">
        <v>3.6499999999999998E-6</v>
      </c>
      <c r="G30" s="10">
        <v>6.5100000000000004E-6</v>
      </c>
      <c r="H30" s="10">
        <v>1.092E-5</v>
      </c>
    </row>
    <row r="31" spans="1:8" x14ac:dyDescent="0.35">
      <c r="A31" s="10">
        <v>4.8399999999999997E-8</v>
      </c>
      <c r="B31" s="10">
        <v>9.5399999999999994E-8</v>
      </c>
      <c r="C31" s="10">
        <v>4.4000000000000002E-7</v>
      </c>
      <c r="D31" s="10">
        <v>6.7899999999999998E-7</v>
      </c>
      <c r="E31" s="10">
        <v>8.3399999999999998E-7</v>
      </c>
      <c r="F31" s="10">
        <v>3.8E-6</v>
      </c>
      <c r="G31" s="10">
        <v>6.8600000000000004E-6</v>
      </c>
      <c r="H31" s="10">
        <v>1.165E-5</v>
      </c>
    </row>
    <row r="32" spans="1:8" x14ac:dyDescent="0.35">
      <c r="A32" s="10">
        <v>4.8599999999999998E-8</v>
      </c>
      <c r="B32" s="10">
        <v>9.6400000000000003E-8</v>
      </c>
      <c r="C32" s="10">
        <v>4.5400000000000002E-7</v>
      </c>
      <c r="D32" s="10">
        <v>7.0299999999999998E-7</v>
      </c>
      <c r="E32" s="10">
        <v>8.6600000000000005E-7</v>
      </c>
      <c r="F32" s="10">
        <v>3.9299999999999996E-6</v>
      </c>
      <c r="G32" s="10">
        <v>7.1800000000000007E-6</v>
      </c>
      <c r="H32" s="10">
        <v>1.238E-5</v>
      </c>
    </row>
    <row r="33" spans="1:8" x14ac:dyDescent="0.35">
      <c r="A33" s="10">
        <v>4.8900000000000001E-8</v>
      </c>
      <c r="B33" s="10">
        <v>9.7199999999999997E-8</v>
      </c>
      <c r="C33" s="10">
        <v>4.6400000000000003E-7</v>
      </c>
      <c r="D33" s="10">
        <v>7.2500000000000005E-7</v>
      </c>
      <c r="E33" s="10">
        <v>8.9199999999999999E-7</v>
      </c>
      <c r="F33" s="10">
        <v>4.0600000000000001E-6</v>
      </c>
      <c r="G33" s="10">
        <v>7.4899999999999994E-6</v>
      </c>
      <c r="H33" s="10">
        <v>1.309E-5</v>
      </c>
    </row>
    <row r="34" spans="1:8" x14ac:dyDescent="0.35">
      <c r="A34" s="10">
        <v>4.9099999999999996E-8</v>
      </c>
      <c r="B34" s="10">
        <v>9.7700000000000008E-8</v>
      </c>
      <c r="C34" s="10">
        <v>4.7199999999999999E-7</v>
      </c>
      <c r="D34" s="10">
        <v>7.4099999999999998E-7</v>
      </c>
      <c r="E34" s="10">
        <v>9.16E-7</v>
      </c>
      <c r="F34" s="10">
        <v>4.1699999999999999E-6</v>
      </c>
      <c r="G34" s="10">
        <v>7.7800000000000001E-6</v>
      </c>
      <c r="H34" s="10">
        <v>1.377E-5</v>
      </c>
    </row>
    <row r="35" spans="1:8" x14ac:dyDescent="0.35">
      <c r="A35" s="10">
        <v>4.9299999999999998E-8</v>
      </c>
      <c r="B35" s="10">
        <v>9.8099999999999998E-8</v>
      </c>
      <c r="C35" s="10">
        <v>4.7899999999999999E-7</v>
      </c>
      <c r="D35" s="10">
        <v>7.54E-7</v>
      </c>
      <c r="E35" s="10">
        <v>9.3399999999999997E-7</v>
      </c>
      <c r="F35" s="10">
        <v>4.2799999999999997E-6</v>
      </c>
      <c r="G35" s="10">
        <v>8.0400000000000009E-6</v>
      </c>
      <c r="H35" s="10">
        <v>1.4430000000000001E-5</v>
      </c>
    </row>
    <row r="36" spans="1:8" x14ac:dyDescent="0.35">
      <c r="A36" s="10">
        <v>4.9299999999999998E-8</v>
      </c>
      <c r="B36" s="10">
        <v>9.8400000000000008E-8</v>
      </c>
      <c r="C36" s="10">
        <v>4.8300000000000008E-7</v>
      </c>
      <c r="D36" s="10">
        <v>7.6400000000000001E-7</v>
      </c>
      <c r="E36" s="10">
        <v>9.4799999999999997E-7</v>
      </c>
      <c r="F36" s="10">
        <v>4.3700000000000005E-6</v>
      </c>
      <c r="G36" s="10">
        <v>8.2799999999999987E-6</v>
      </c>
      <c r="H36" s="10">
        <v>1.503E-5</v>
      </c>
    </row>
    <row r="37" spans="1:8" x14ac:dyDescent="0.35">
      <c r="A37" s="10">
        <v>4.95E-8</v>
      </c>
      <c r="B37" s="10">
        <v>9.8599999999999996E-8</v>
      </c>
      <c r="C37" s="10">
        <v>4.8699999999999995E-7</v>
      </c>
      <c r="D37" s="10">
        <v>7.7199999999999998E-7</v>
      </c>
      <c r="E37" s="10">
        <v>9.5900000000000005E-7</v>
      </c>
      <c r="F37" s="10">
        <v>4.4699999999999996E-6</v>
      </c>
      <c r="G37" s="10">
        <v>8.4999999999999999E-6</v>
      </c>
      <c r="H37" s="10">
        <v>1.56E-5</v>
      </c>
    </row>
    <row r="38" spans="1:8" x14ac:dyDescent="0.35">
      <c r="A38" s="10">
        <v>4.95E-8</v>
      </c>
      <c r="B38" s="10">
        <v>9.8799999999999998E-8</v>
      </c>
      <c r="C38" s="10">
        <v>4.89E-7</v>
      </c>
      <c r="D38" s="10">
        <v>7.7800000000000001E-7</v>
      </c>
      <c r="E38" s="10">
        <v>9.6700000000000002E-7</v>
      </c>
      <c r="F38" s="10">
        <v>4.5500000000000005E-6</v>
      </c>
      <c r="G38" s="10">
        <v>8.6899999999999998E-6</v>
      </c>
      <c r="H38" s="10">
        <v>1.613E-5</v>
      </c>
    </row>
    <row r="39" spans="1:8" x14ac:dyDescent="0.35">
      <c r="A39" s="10">
        <v>4.95E-8</v>
      </c>
      <c r="B39" s="10">
        <v>9.9E-8</v>
      </c>
      <c r="C39" s="10">
        <v>4.9100000000000004E-7</v>
      </c>
      <c r="D39" s="10">
        <v>7.8200000000000009E-7</v>
      </c>
      <c r="E39" s="10">
        <v>9.7399999999999991E-7</v>
      </c>
      <c r="F39" s="10">
        <v>4.6199999999999998E-6</v>
      </c>
      <c r="G39" s="10">
        <v>8.8799999999999997E-6</v>
      </c>
      <c r="H39" s="10">
        <v>1.66E-5</v>
      </c>
    </row>
    <row r="40" spans="1:8" x14ac:dyDescent="0.35">
      <c r="A40" s="10">
        <v>4.9600000000000001E-8</v>
      </c>
      <c r="B40" s="10">
        <v>9.9200000000000002E-8</v>
      </c>
      <c r="C40" s="10">
        <v>4.9299999999999998E-7</v>
      </c>
      <c r="D40" s="10">
        <v>7.85E-7</v>
      </c>
      <c r="E40" s="10">
        <v>9.7900000000000007E-7</v>
      </c>
      <c r="F40" s="10">
        <v>4.6800000000000001E-6</v>
      </c>
      <c r="G40" s="10">
        <v>9.0299999999999999E-6</v>
      </c>
      <c r="H40" s="10">
        <v>1.7039999999999999E-5</v>
      </c>
    </row>
    <row r="41" spans="1:8" x14ac:dyDescent="0.35">
      <c r="A41" s="10">
        <v>4.9700000000000002E-8</v>
      </c>
      <c r="B41" s="10">
        <v>9.9299999999999996E-8</v>
      </c>
      <c r="C41" s="10">
        <v>4.9399999999999995E-7</v>
      </c>
      <c r="D41" s="10">
        <v>7.8799999999999991E-7</v>
      </c>
      <c r="E41" s="10">
        <v>9.8200000000000008E-7</v>
      </c>
      <c r="F41" s="10">
        <v>4.7400000000000004E-6</v>
      </c>
      <c r="G41" s="10">
        <v>9.1699999999999986E-6</v>
      </c>
      <c r="H41" s="10">
        <v>1.7419999999999999E-5</v>
      </c>
    </row>
    <row r="42" spans="1:8" x14ac:dyDescent="0.35">
      <c r="A42" s="10">
        <v>4.9700000000000002E-8</v>
      </c>
      <c r="B42" s="10">
        <v>9.9299999999999996E-8</v>
      </c>
      <c r="C42" s="10">
        <v>4.9499999999999992E-7</v>
      </c>
      <c r="D42" s="10">
        <v>7.9000000000000006E-7</v>
      </c>
      <c r="E42" s="10">
        <v>9.8599999999999996E-7</v>
      </c>
      <c r="F42" s="10">
        <v>4.78E-6</v>
      </c>
      <c r="G42" s="10">
        <v>9.299999999999999E-6</v>
      </c>
      <c r="H42" s="10">
        <v>1.7759999999999999E-5</v>
      </c>
    </row>
    <row r="43" spans="1:8" x14ac:dyDescent="0.35">
      <c r="A43" s="10">
        <v>4.9700000000000002E-8</v>
      </c>
      <c r="B43" s="10">
        <v>9.9400000000000003E-8</v>
      </c>
      <c r="C43" s="10">
        <v>4.9599999999999999E-7</v>
      </c>
      <c r="D43" s="10">
        <v>7.9099999999999992E-7</v>
      </c>
      <c r="E43" s="10">
        <v>9.8800000000000011E-7</v>
      </c>
      <c r="F43" s="10">
        <v>4.8199999999999996E-6</v>
      </c>
      <c r="G43" s="10">
        <v>9.4099999999999997E-6</v>
      </c>
      <c r="H43" s="10">
        <v>1.8080000000000003E-5</v>
      </c>
    </row>
    <row r="44" spans="1:8" x14ac:dyDescent="0.35">
      <c r="A44" s="10">
        <v>4.9800000000000003E-8</v>
      </c>
      <c r="B44" s="10">
        <v>9.9500000000000011E-8</v>
      </c>
      <c r="C44" s="10">
        <v>4.9599999999999999E-7</v>
      </c>
      <c r="D44" s="10">
        <v>7.9300000000000007E-7</v>
      </c>
      <c r="E44" s="10">
        <v>9.8999999999999984E-7</v>
      </c>
      <c r="F44" s="10">
        <v>4.8500000000000002E-6</v>
      </c>
      <c r="G44" s="10">
        <v>9.5099999999999987E-6</v>
      </c>
      <c r="H44" s="10">
        <v>1.8339999999999997E-5</v>
      </c>
    </row>
    <row r="45" spans="1:8" x14ac:dyDescent="0.35">
      <c r="A45" s="10">
        <v>4.9800000000000003E-8</v>
      </c>
      <c r="B45" s="10">
        <v>9.9500000000000011E-8</v>
      </c>
      <c r="C45" s="10">
        <v>4.9700000000000007E-7</v>
      </c>
      <c r="D45" s="10">
        <v>7.9300000000000007E-7</v>
      </c>
      <c r="E45" s="10">
        <v>9.9099999999999991E-7</v>
      </c>
      <c r="F45" s="10">
        <v>4.8799999999999999E-6</v>
      </c>
      <c r="G45" s="10">
        <v>9.5799999999999998E-6</v>
      </c>
      <c r="H45" s="10">
        <v>1.859E-5</v>
      </c>
    </row>
    <row r="46" spans="1:8" x14ac:dyDescent="0.35">
      <c r="A46" s="10">
        <v>4.9800000000000003E-8</v>
      </c>
      <c r="B46" s="10">
        <v>9.9500000000000011E-8</v>
      </c>
      <c r="C46" s="10">
        <v>4.9700000000000007E-7</v>
      </c>
      <c r="D46" s="10">
        <v>7.9500000000000001E-7</v>
      </c>
      <c r="E46" s="10">
        <v>9.9300000000000006E-7</v>
      </c>
      <c r="F46" s="10">
        <v>4.8899999999999998E-6</v>
      </c>
      <c r="G46" s="10">
        <v>9.6399999999999992E-6</v>
      </c>
      <c r="H46" s="10">
        <v>1.8790000000000001E-5</v>
      </c>
    </row>
    <row r="47" spans="1:8" x14ac:dyDescent="0.35">
      <c r="A47" s="8"/>
      <c r="B47" s="8"/>
      <c r="C47" s="8"/>
      <c r="D47" s="8"/>
      <c r="F47" s="8"/>
      <c r="G47" s="8"/>
      <c r="H47" s="9"/>
    </row>
    <row r="48" spans="1:8" x14ac:dyDescent="0.35">
      <c r="A48" s="8"/>
      <c r="B48" s="8"/>
      <c r="C48" s="8"/>
      <c r="D48" s="8"/>
      <c r="F48" s="8"/>
      <c r="G48" s="8"/>
      <c r="H48" s="9"/>
    </row>
    <row r="49" spans="1:8" x14ac:dyDescent="0.35">
      <c r="A49" s="8"/>
      <c r="B49" s="8"/>
      <c r="C49" s="8"/>
      <c r="D49" s="8"/>
      <c r="F49" s="8"/>
      <c r="G49" s="8"/>
      <c r="H49" s="9"/>
    </row>
    <row r="50" spans="1:8" x14ac:dyDescent="0.35">
      <c r="A50" s="8"/>
      <c r="B50" s="8"/>
      <c r="C50" s="8"/>
      <c r="D50" s="8"/>
      <c r="F50" s="8"/>
      <c r="G50" s="8"/>
      <c r="H50" s="9"/>
    </row>
    <row r="51" spans="1:8" x14ac:dyDescent="0.35">
      <c r="A51" s="8"/>
      <c r="B51" s="8"/>
      <c r="C51" s="8"/>
      <c r="D51" s="8"/>
      <c r="F51" s="8"/>
      <c r="G51" s="8"/>
      <c r="H51" s="9"/>
    </row>
    <row r="52" spans="1:8" x14ac:dyDescent="0.35">
      <c r="A52" s="8"/>
      <c r="B52" s="8"/>
      <c r="C52" s="8"/>
      <c r="D52" s="8"/>
      <c r="F52" s="8"/>
      <c r="G52" s="8"/>
      <c r="H52" s="8"/>
    </row>
    <row r="53" spans="1:8" x14ac:dyDescent="0.35">
      <c r="A53" s="8"/>
      <c r="B53" s="8"/>
      <c r="C53" s="8"/>
      <c r="D53" s="8"/>
      <c r="F53" s="8"/>
      <c r="G53" s="8"/>
      <c r="H53" s="8"/>
    </row>
    <row r="54" spans="1:8" x14ac:dyDescent="0.35">
      <c r="A54" s="8"/>
      <c r="B54" s="8"/>
      <c r="C54" s="8"/>
      <c r="D54" s="8"/>
      <c r="F54" s="8"/>
      <c r="G54" s="8"/>
      <c r="H54" s="8"/>
    </row>
    <row r="55" spans="1:8" x14ac:dyDescent="0.35">
      <c r="A55" s="8"/>
      <c r="B55" s="8"/>
      <c r="C55" s="8"/>
      <c r="D55" s="8"/>
      <c r="F55" s="8"/>
      <c r="G55" s="8"/>
      <c r="H55" s="8"/>
    </row>
    <row r="56" spans="1:8" x14ac:dyDescent="0.35">
      <c r="A56" s="8"/>
      <c r="B56" s="8"/>
      <c r="C56" s="8"/>
      <c r="D56" s="8"/>
      <c r="F56" s="8"/>
      <c r="G56" s="8"/>
      <c r="H56" s="8"/>
    </row>
    <row r="57" spans="1:8" x14ac:dyDescent="0.35">
      <c r="A57" s="8"/>
      <c r="B57" s="8"/>
      <c r="C57" s="8"/>
      <c r="D57" s="8"/>
      <c r="F57" s="8"/>
      <c r="G57" s="8"/>
      <c r="H57" s="8"/>
    </row>
    <row r="58" spans="1:8" x14ac:dyDescent="0.35">
      <c r="A58" s="8"/>
      <c r="B58" s="8"/>
      <c r="C58" s="8"/>
      <c r="D58" s="8"/>
      <c r="F58" s="8"/>
      <c r="G58" s="8"/>
      <c r="H58" s="8"/>
    </row>
    <row r="59" spans="1:8" x14ac:dyDescent="0.35">
      <c r="A59" s="8"/>
      <c r="B59" s="8"/>
      <c r="C59" s="8"/>
      <c r="D59" s="8"/>
      <c r="F59" s="8"/>
      <c r="G59" s="8"/>
      <c r="H59" s="8"/>
    </row>
    <row r="60" spans="1:8" x14ac:dyDescent="0.35">
      <c r="A60" s="8"/>
      <c r="B60" s="8"/>
      <c r="C60" s="8"/>
      <c r="D60" s="8"/>
      <c r="F60" s="8"/>
      <c r="G60" s="8"/>
      <c r="H60" s="8"/>
    </row>
    <row r="61" spans="1:8" x14ac:dyDescent="0.35">
      <c r="A61" s="8"/>
      <c r="B61" s="8"/>
      <c r="C61" s="8"/>
      <c r="D61" s="8"/>
      <c r="F61" s="8"/>
      <c r="G61" s="8"/>
      <c r="H61" s="8"/>
    </row>
    <row r="62" spans="1:8" x14ac:dyDescent="0.35">
      <c r="A62" s="8"/>
      <c r="B62" s="8"/>
      <c r="C62" s="8"/>
      <c r="D62" s="8"/>
      <c r="F62" s="8"/>
      <c r="G62" s="8"/>
      <c r="H62" s="8"/>
    </row>
    <row r="63" spans="1:8" x14ac:dyDescent="0.35">
      <c r="A63" s="8"/>
      <c r="B63" s="8"/>
      <c r="C63" s="8"/>
      <c r="D63" s="8"/>
      <c r="F63" s="8"/>
      <c r="G63" s="8"/>
      <c r="H63" s="8"/>
    </row>
    <row r="64" spans="1:8" x14ac:dyDescent="0.35">
      <c r="A64" s="8"/>
      <c r="B64" s="8"/>
      <c r="C64" s="8"/>
      <c r="D64" s="8"/>
      <c r="F64" s="8"/>
      <c r="G64" s="8"/>
      <c r="H64" s="8"/>
    </row>
    <row r="65" spans="1:8" x14ac:dyDescent="0.35">
      <c r="A65" s="8"/>
      <c r="B65" s="8"/>
      <c r="C65" s="8"/>
      <c r="D65" s="8"/>
      <c r="F65" s="8"/>
      <c r="G65" s="8"/>
      <c r="H65" s="8"/>
    </row>
    <row r="66" spans="1:8" x14ac:dyDescent="0.35">
      <c r="A66" s="8"/>
      <c r="B66" s="8"/>
      <c r="C66" s="8"/>
      <c r="D66" s="8"/>
      <c r="F66" s="8"/>
      <c r="G66" s="8"/>
      <c r="H66" s="8"/>
    </row>
    <row r="67" spans="1:8" x14ac:dyDescent="0.35">
      <c r="A67" s="8"/>
      <c r="B67" s="8"/>
      <c r="C67" s="8"/>
      <c r="D67" s="8"/>
      <c r="F67" s="8"/>
      <c r="G67" s="8"/>
      <c r="H67" s="8"/>
    </row>
    <row r="68" spans="1:8" x14ac:dyDescent="0.35">
      <c r="A68" s="8"/>
      <c r="B68" s="8"/>
      <c r="C68" s="8"/>
      <c r="D68" s="8"/>
      <c r="F68" s="8"/>
      <c r="G68" s="8"/>
      <c r="H68" s="8"/>
    </row>
    <row r="69" spans="1:8" x14ac:dyDescent="0.35">
      <c r="A69" s="8"/>
      <c r="B69" s="8"/>
      <c r="C69" s="8"/>
      <c r="D69" s="8"/>
      <c r="F69" s="8"/>
      <c r="G69" s="8"/>
      <c r="H69" s="8"/>
    </row>
    <row r="70" spans="1:8" x14ac:dyDescent="0.35">
      <c r="A70" s="8"/>
      <c r="B70" s="8"/>
      <c r="C70" s="8"/>
      <c r="D70" s="8"/>
      <c r="F70" s="8"/>
      <c r="G70" s="8"/>
      <c r="H70" s="8"/>
    </row>
    <row r="71" spans="1:8" x14ac:dyDescent="0.35">
      <c r="A71" s="8"/>
      <c r="B71" s="8"/>
      <c r="C71" s="8"/>
      <c r="D71" s="8"/>
      <c r="F71" s="8"/>
      <c r="G71" s="8"/>
      <c r="H71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82A6-5851-43AC-9564-E4106D6C3AC9}">
  <dimension ref="A1:H51"/>
  <sheetViews>
    <sheetView workbookViewId="0">
      <selection activeCell="K13" sqref="K13"/>
    </sheetView>
  </sheetViews>
  <sheetFormatPr defaultRowHeight="14.5" x14ac:dyDescent="0.35"/>
  <cols>
    <col min="1" max="8" width="9.1796875" style="10"/>
  </cols>
  <sheetData>
    <row r="1" spans="1:8" x14ac:dyDescent="0.35">
      <c r="A1" s="8">
        <v>1.7499999999999999E-7</v>
      </c>
      <c r="B1" s="8">
        <v>1.4999999999999999E-7</v>
      </c>
      <c r="C1" s="8">
        <v>8.4700000000000002E-11</v>
      </c>
      <c r="D1" s="8">
        <v>1.8199999999999999E-11</v>
      </c>
      <c r="E1" s="8">
        <v>1.1800000000000001E-11</v>
      </c>
      <c r="F1" s="8">
        <v>1.42E-12</v>
      </c>
      <c r="G1" s="8">
        <v>6.6999999999999997E-13</v>
      </c>
      <c r="H1" s="8">
        <v>3.2499999999999998E-13</v>
      </c>
    </row>
    <row r="2" spans="1:8" x14ac:dyDescent="0.35">
      <c r="A2" s="8">
        <v>1.7499999999999999E-7</v>
      </c>
      <c r="B2" s="8">
        <v>1.4999999999999999E-7</v>
      </c>
      <c r="C2" s="8">
        <v>1.2500000000000001E-10</v>
      </c>
      <c r="D2" s="8">
        <v>2.6299999999999999E-11</v>
      </c>
      <c r="E2" s="8">
        <v>1.6999999999999999E-11</v>
      </c>
      <c r="F2" s="8">
        <v>2.0199999999999999E-12</v>
      </c>
      <c r="G2" s="8">
        <v>9.5199999999999998E-13</v>
      </c>
      <c r="H2" s="8">
        <v>4.6099999999999995E-13</v>
      </c>
    </row>
    <row r="3" spans="1:8" x14ac:dyDescent="0.35">
      <c r="A3" s="8">
        <v>1.7499999999999999E-7</v>
      </c>
      <c r="B3" s="8">
        <v>1.4999999999999999E-7</v>
      </c>
      <c r="C3" s="8">
        <v>1.8500000000000001E-10</v>
      </c>
      <c r="D3" s="8">
        <v>3.79E-11</v>
      </c>
      <c r="E3" s="8">
        <v>2.4400000000000001E-11</v>
      </c>
      <c r="F3" s="8">
        <v>2.8599999999999999E-12</v>
      </c>
      <c r="G3" s="8">
        <v>1.3399999999999999E-12</v>
      </c>
      <c r="H3" s="8">
        <v>6.4999999999999996E-13</v>
      </c>
    </row>
    <row r="4" spans="1:8" x14ac:dyDescent="0.35">
      <c r="A4" s="8">
        <v>1.7499999999999999E-7</v>
      </c>
      <c r="B4" s="8">
        <v>1.4999999999999999E-7</v>
      </c>
      <c r="C4" s="8">
        <v>2.7199999999999999E-10</v>
      </c>
      <c r="D4" s="8">
        <v>5.4499999999999999E-11</v>
      </c>
      <c r="E4" s="8">
        <v>3.4799999999999999E-11</v>
      </c>
      <c r="F4" s="8">
        <v>4.0200000000000002E-12</v>
      </c>
      <c r="G4" s="8">
        <v>1.8899999999999998E-12</v>
      </c>
      <c r="H4" s="8">
        <v>9.0999999999999996E-13</v>
      </c>
    </row>
    <row r="5" spans="1:8" x14ac:dyDescent="0.35">
      <c r="A5" s="8">
        <v>1.7499999999999999E-7</v>
      </c>
      <c r="B5" s="8">
        <v>1.4999999999999999E-7</v>
      </c>
      <c r="C5" s="8">
        <v>4.0100000000000001E-10</v>
      </c>
      <c r="D5" s="8">
        <v>7.8099999999999994E-11</v>
      </c>
      <c r="E5" s="8">
        <v>4.9600000000000002E-11</v>
      </c>
      <c r="F5" s="8">
        <v>5.63E-12</v>
      </c>
      <c r="G5" s="8">
        <v>2.6299999999999999E-12</v>
      </c>
      <c r="H5" s="8">
        <v>1.27E-12</v>
      </c>
    </row>
    <row r="6" spans="1:8" x14ac:dyDescent="0.35">
      <c r="A6" s="8">
        <v>1.7499999999999999E-7</v>
      </c>
      <c r="B6" s="8">
        <v>1.4999999999999999E-7</v>
      </c>
      <c r="C6" s="8">
        <v>5.9000000000000003E-10</v>
      </c>
      <c r="D6" s="8">
        <v>1.12E-10</v>
      </c>
      <c r="E6" s="8">
        <v>7.0399999999999997E-11</v>
      </c>
      <c r="F6" s="8">
        <v>7.8400000000000005E-12</v>
      </c>
      <c r="G6" s="8">
        <v>3.65E-12</v>
      </c>
      <c r="H6" s="8">
        <v>1.76E-12</v>
      </c>
    </row>
    <row r="7" spans="1:8" x14ac:dyDescent="0.35">
      <c r="A7" s="8">
        <v>1.7499999999999999E-7</v>
      </c>
      <c r="B7" s="8">
        <v>1.4999999999999999E-7</v>
      </c>
      <c r="C7" s="8">
        <v>8.68E-10</v>
      </c>
      <c r="D7" s="8">
        <v>1.5899999999999999E-10</v>
      </c>
      <c r="E7" s="8">
        <v>9.9799999999999994E-11</v>
      </c>
      <c r="F7" s="8">
        <v>1.0899999999999999E-11</v>
      </c>
      <c r="G7" s="8">
        <v>5.0400000000000003E-12</v>
      </c>
      <c r="H7" s="8">
        <v>2.4200000000000002E-12</v>
      </c>
    </row>
    <row r="8" spans="1:8" x14ac:dyDescent="0.35">
      <c r="A8" s="8">
        <v>1.7499999999999999E-7</v>
      </c>
      <c r="B8" s="8">
        <v>1.5099999999999999E-7</v>
      </c>
      <c r="C8" s="8">
        <v>1.2799999999999999E-9</v>
      </c>
      <c r="D8" s="8">
        <v>2.2699999999999999E-10</v>
      </c>
      <c r="E8" s="8">
        <v>1.41E-10</v>
      </c>
      <c r="F8" s="8">
        <v>1.5E-11</v>
      </c>
      <c r="G8" s="8">
        <v>6.9299999999999998E-12</v>
      </c>
      <c r="H8" s="8">
        <v>3.3099999999999998E-12</v>
      </c>
    </row>
    <row r="9" spans="1:8" x14ac:dyDescent="0.35">
      <c r="A9" s="8">
        <v>1.7599999999999999E-7</v>
      </c>
      <c r="B9" s="8">
        <v>1.5099999999999999E-7</v>
      </c>
      <c r="C9" s="8">
        <v>1.87E-9</v>
      </c>
      <c r="D9" s="8">
        <v>3.2400000000000002E-10</v>
      </c>
      <c r="E9" s="8">
        <v>1.9900000000000001E-10</v>
      </c>
      <c r="F9" s="8">
        <v>2.0599999999999999E-11</v>
      </c>
      <c r="G9" s="8">
        <v>9.4700000000000006E-12</v>
      </c>
      <c r="H9" s="8">
        <v>4.51E-12</v>
      </c>
    </row>
    <row r="10" spans="1:8" x14ac:dyDescent="0.35">
      <c r="A10" s="8">
        <v>1.7599999999999999E-7</v>
      </c>
      <c r="B10" s="8">
        <v>1.5099999999999999E-7</v>
      </c>
      <c r="C10" s="8">
        <v>2.7299999999999999E-9</v>
      </c>
      <c r="D10" s="8">
        <v>4.6200000000000001E-10</v>
      </c>
      <c r="E10" s="8">
        <v>2.8200000000000001E-10</v>
      </c>
      <c r="F10" s="8">
        <v>2.82E-11</v>
      </c>
      <c r="G10" s="8">
        <v>1.29E-11</v>
      </c>
      <c r="H10" s="8">
        <v>6.1099999999999996E-12</v>
      </c>
    </row>
    <row r="11" spans="1:8" x14ac:dyDescent="0.35">
      <c r="A11" s="8">
        <v>1.7599999999999999E-7</v>
      </c>
      <c r="B11" s="8">
        <v>1.5200000000000001E-7</v>
      </c>
      <c r="C11" s="8">
        <v>3.9499999999999998E-9</v>
      </c>
      <c r="D11" s="8">
        <v>6.6E-10</v>
      </c>
      <c r="E11" s="8">
        <v>3.9800000000000002E-10</v>
      </c>
      <c r="F11" s="8">
        <v>3.8399999999999998E-11</v>
      </c>
      <c r="G11" s="8">
        <v>1.7500000000000001E-11</v>
      </c>
      <c r="H11" s="8">
        <v>8.2400000000000004E-12</v>
      </c>
    </row>
    <row r="12" spans="1:8" x14ac:dyDescent="0.35">
      <c r="A12" s="8">
        <v>1.7700000000000001E-7</v>
      </c>
      <c r="B12" s="8">
        <v>1.5300000000000001E-7</v>
      </c>
      <c r="C12" s="8">
        <v>5.6500000000000001E-9</v>
      </c>
      <c r="D12" s="8">
        <v>9.4299999999999995E-10</v>
      </c>
      <c r="E12" s="8">
        <v>5.6200000000000002E-10</v>
      </c>
      <c r="F12" s="8">
        <v>5.2300000000000003E-11</v>
      </c>
      <c r="G12" s="8">
        <v>2.3600000000000001E-11</v>
      </c>
      <c r="H12" s="8">
        <v>1.1100000000000001E-11</v>
      </c>
    </row>
    <row r="13" spans="1:8" x14ac:dyDescent="0.35">
      <c r="A13" s="8">
        <v>1.7700000000000001E-7</v>
      </c>
      <c r="B13" s="8">
        <v>1.54E-7</v>
      </c>
      <c r="C13" s="8">
        <v>7.9599999999999998E-9</v>
      </c>
      <c r="D13" s="8">
        <v>1.3500000000000001E-9</v>
      </c>
      <c r="E13" s="8">
        <v>7.9600000000000004E-10</v>
      </c>
      <c r="F13" s="8">
        <v>7.0899999999999996E-11</v>
      </c>
      <c r="G13" s="8">
        <v>3.1699999999999998E-11</v>
      </c>
      <c r="H13" s="8">
        <v>1.48E-11</v>
      </c>
    </row>
    <row r="14" spans="1:8" x14ac:dyDescent="0.35">
      <c r="A14" s="8">
        <v>1.7800000000000001E-7</v>
      </c>
      <c r="B14" s="8">
        <v>1.55E-7</v>
      </c>
      <c r="C14" s="8">
        <v>1.0999999999999999E-8</v>
      </c>
      <c r="D14" s="8">
        <v>1.9399999999999999E-9</v>
      </c>
      <c r="E14" s="8">
        <v>1.13E-9</v>
      </c>
      <c r="F14" s="8">
        <v>9.6000000000000005E-11</v>
      </c>
      <c r="G14" s="8">
        <v>4.2500000000000002E-11</v>
      </c>
      <c r="H14" s="8">
        <v>1.9799999999999999E-11</v>
      </c>
    </row>
    <row r="15" spans="1:8" x14ac:dyDescent="0.35">
      <c r="A15" s="8">
        <v>1.79E-7</v>
      </c>
      <c r="B15" s="8">
        <v>1.5699999999999999E-7</v>
      </c>
      <c r="C15" s="8">
        <v>1.4899999999999999E-8</v>
      </c>
      <c r="D15" s="8">
        <v>2.7799999999999999E-9</v>
      </c>
      <c r="E15" s="8">
        <v>1.61E-9</v>
      </c>
      <c r="F15" s="8">
        <v>1.2999999999999999E-10</v>
      </c>
      <c r="G15" s="8">
        <v>5.6899999999999999E-11</v>
      </c>
      <c r="H15" s="8">
        <v>2.6200000000000001E-11</v>
      </c>
    </row>
    <row r="16" spans="1:8" x14ac:dyDescent="0.35">
      <c r="A16" s="8">
        <v>1.8E-7</v>
      </c>
      <c r="B16" s="8">
        <v>1.5900000000000001E-7</v>
      </c>
      <c r="C16" s="8">
        <v>1.9700000000000001E-8</v>
      </c>
      <c r="D16" s="8">
        <v>4.0000000000000002E-9</v>
      </c>
      <c r="E16" s="8">
        <v>2.2900000000000002E-9</v>
      </c>
      <c r="F16" s="8">
        <v>1.7499999999999999E-10</v>
      </c>
      <c r="G16" s="8">
        <v>7.5999999999999996E-11</v>
      </c>
      <c r="H16" s="8">
        <v>3.4799999999999999E-11</v>
      </c>
    </row>
    <row r="17" spans="1:8" x14ac:dyDescent="0.35">
      <c r="A17" s="8">
        <v>1.8199999999999999E-7</v>
      </c>
      <c r="B17" s="8">
        <v>1.61E-7</v>
      </c>
      <c r="C17" s="8">
        <v>2.55E-8</v>
      </c>
      <c r="D17" s="8">
        <v>5.7299999999999999E-9</v>
      </c>
      <c r="E17" s="8">
        <v>3.2599999999999999E-9</v>
      </c>
      <c r="F17" s="8">
        <v>2.3700000000000001E-10</v>
      </c>
      <c r="G17" s="8">
        <v>1.01E-10</v>
      </c>
      <c r="H17" s="8">
        <v>4.6000000000000003E-11</v>
      </c>
    </row>
    <row r="18" spans="1:8" x14ac:dyDescent="0.35">
      <c r="A18" s="8">
        <v>1.8300000000000001E-7</v>
      </c>
      <c r="B18" s="8">
        <v>1.6299999999999999E-7</v>
      </c>
      <c r="C18" s="8">
        <v>3.2299999999999998E-8</v>
      </c>
      <c r="D18" s="8">
        <v>8.1799999999999995E-9</v>
      </c>
      <c r="E18" s="8">
        <v>4.66E-9</v>
      </c>
      <c r="F18" s="8">
        <v>3.1999999999999998E-10</v>
      </c>
      <c r="G18" s="8">
        <v>1.35E-10</v>
      </c>
      <c r="H18" s="8">
        <v>6.0699999999999995E-11</v>
      </c>
    </row>
    <row r="19" spans="1:8" x14ac:dyDescent="0.35">
      <c r="A19" s="8">
        <v>1.85E-7</v>
      </c>
      <c r="B19" s="8">
        <v>1.66E-7</v>
      </c>
      <c r="C19" s="8">
        <v>4.0299999999999997E-8</v>
      </c>
      <c r="D19" s="8">
        <v>1.16E-8</v>
      </c>
      <c r="E19" s="8">
        <v>6.65E-9</v>
      </c>
      <c r="F19" s="8">
        <v>4.34E-10</v>
      </c>
      <c r="G19" s="8">
        <v>1.8E-10</v>
      </c>
      <c r="H19" s="8">
        <v>7.9999999999999995E-11</v>
      </c>
    </row>
    <row r="20" spans="1:8" x14ac:dyDescent="0.35">
      <c r="A20" s="8">
        <v>1.8699999999999999E-7</v>
      </c>
      <c r="B20" s="8">
        <v>1.6999999999999999E-7</v>
      </c>
      <c r="C20" s="8">
        <v>4.9199999999999997E-8</v>
      </c>
      <c r="D20" s="8">
        <v>1.6199999999999999E-8</v>
      </c>
      <c r="E20" s="8">
        <v>9.46E-9</v>
      </c>
      <c r="F20" s="8">
        <v>5.8800000000000004E-10</v>
      </c>
      <c r="G20" s="8">
        <v>2.4E-10</v>
      </c>
      <c r="H20" s="8">
        <v>1.05E-10</v>
      </c>
    </row>
    <row r="21" spans="1:8" x14ac:dyDescent="0.35">
      <c r="A21" s="8">
        <v>1.8900000000000001E-7</v>
      </c>
      <c r="B21" s="8">
        <v>1.73E-7</v>
      </c>
      <c r="C21" s="8">
        <v>5.9300000000000002E-8</v>
      </c>
      <c r="D21" s="8">
        <v>2.2300000000000001E-8</v>
      </c>
      <c r="E21" s="8">
        <v>1.3399999999999999E-8</v>
      </c>
      <c r="F21" s="8">
        <v>7.9800000000000004E-10</v>
      </c>
      <c r="G21" s="8">
        <v>3.1999999999999998E-10</v>
      </c>
      <c r="H21" s="8">
        <v>1.3900000000000001E-10</v>
      </c>
    </row>
    <row r="22" spans="1:8" x14ac:dyDescent="0.35">
      <c r="A22" s="8">
        <v>1.91E-7</v>
      </c>
      <c r="B22" s="8">
        <v>1.7700000000000001E-7</v>
      </c>
      <c r="C22" s="8">
        <v>7.0200000000000007E-8</v>
      </c>
      <c r="D22" s="8">
        <v>3.0099999999999998E-8</v>
      </c>
      <c r="E22" s="8">
        <v>1.8600000000000001E-8</v>
      </c>
      <c r="F22" s="8">
        <v>1.09E-9</v>
      </c>
      <c r="G22" s="8">
        <v>4.2800000000000002E-10</v>
      </c>
      <c r="H22" s="8">
        <v>1.8199999999999999E-10</v>
      </c>
    </row>
    <row r="23" spans="1:8" x14ac:dyDescent="0.35">
      <c r="A23" s="8">
        <v>1.92E-7</v>
      </c>
      <c r="B23" s="8">
        <v>1.8099999999999999E-7</v>
      </c>
      <c r="C23" s="8">
        <v>8.2100000000000001E-8</v>
      </c>
      <c r="D23" s="8">
        <v>3.9599999999999997E-8</v>
      </c>
      <c r="E23" s="8">
        <v>2.5600000000000001E-8</v>
      </c>
      <c r="F23" s="8">
        <v>1.49E-9</v>
      </c>
      <c r="G23" s="8">
        <v>5.7199999999999999E-10</v>
      </c>
      <c r="H23" s="8">
        <v>2.4E-10</v>
      </c>
    </row>
    <row r="24" spans="1:8" x14ac:dyDescent="0.35">
      <c r="A24" s="8">
        <v>1.9399999999999999E-7</v>
      </c>
      <c r="B24" s="8">
        <v>1.8400000000000001E-7</v>
      </c>
      <c r="C24" s="8">
        <v>9.4500000000000006E-8</v>
      </c>
      <c r="D24" s="8">
        <v>5.0799999999999998E-8</v>
      </c>
      <c r="E24" s="8">
        <v>3.4399999999999997E-8</v>
      </c>
      <c r="F24" s="8">
        <v>2.04E-9</v>
      </c>
      <c r="G24" s="8">
        <v>7.6700000000000004E-10</v>
      </c>
      <c r="H24" s="8">
        <v>3.1699999999999999E-10</v>
      </c>
    </row>
    <row r="25" spans="1:8" x14ac:dyDescent="0.35">
      <c r="A25" s="8">
        <v>1.9500000000000001E-7</v>
      </c>
      <c r="B25" s="8">
        <v>1.8699999999999999E-7</v>
      </c>
      <c r="C25" s="8">
        <v>1.0700000000000001E-7</v>
      </c>
      <c r="D25" s="8">
        <v>6.36E-8</v>
      </c>
      <c r="E25" s="8">
        <v>4.5200000000000001E-8</v>
      </c>
      <c r="F25" s="8">
        <v>2.81E-9</v>
      </c>
      <c r="G25" s="8">
        <v>1.03E-9</v>
      </c>
      <c r="H25" s="8">
        <v>4.18E-10</v>
      </c>
    </row>
    <row r="26" spans="1:8" x14ac:dyDescent="0.35">
      <c r="A26" s="8">
        <v>1.9600000000000001E-7</v>
      </c>
      <c r="B26" s="8">
        <v>1.9000000000000001E-7</v>
      </c>
      <c r="C26" s="8">
        <v>1.1999999999999999E-7</v>
      </c>
      <c r="D26" s="8">
        <v>7.7599999999999993E-8</v>
      </c>
      <c r="E26" s="8">
        <v>5.7800000000000001E-8</v>
      </c>
      <c r="F26" s="8">
        <v>3.8700000000000001E-9</v>
      </c>
      <c r="G26" s="8">
        <v>1.39E-9</v>
      </c>
      <c r="H26" s="8">
        <v>5.5299999999999995E-10</v>
      </c>
    </row>
    <row r="27" spans="1:8" x14ac:dyDescent="0.35">
      <c r="A27" s="8">
        <v>1.97E-7</v>
      </c>
      <c r="B27" s="8">
        <v>1.92E-7</v>
      </c>
      <c r="C27" s="8">
        <v>1.3300000000000001E-7</v>
      </c>
      <c r="D27" s="8">
        <v>9.2399999999999994E-8</v>
      </c>
      <c r="E27" s="8">
        <v>7.1900000000000002E-8</v>
      </c>
      <c r="F27" s="8">
        <v>5.3599999999999997E-9</v>
      </c>
      <c r="G27" s="8">
        <v>1.8899999999999999E-9</v>
      </c>
      <c r="H27" s="8">
        <v>7.3299999999999995E-10</v>
      </c>
    </row>
    <row r="28" spans="1:8" x14ac:dyDescent="0.35">
      <c r="A28" s="8">
        <v>1.98E-7</v>
      </c>
      <c r="B28" s="8">
        <v>1.9399999999999999E-7</v>
      </c>
      <c r="C28" s="8">
        <v>1.4399999999999999E-7</v>
      </c>
      <c r="D28" s="8">
        <v>1.0700000000000001E-7</v>
      </c>
      <c r="E28" s="8">
        <v>8.7100000000000006E-8</v>
      </c>
      <c r="F28" s="8">
        <v>7.4199999999999996E-9</v>
      </c>
      <c r="G28" s="8">
        <v>2.5599999999999998E-9</v>
      </c>
      <c r="H28" s="8">
        <v>9.7399999999999995E-10</v>
      </c>
    </row>
    <row r="29" spans="1:8" x14ac:dyDescent="0.35">
      <c r="A29" s="8">
        <v>1.98E-7</v>
      </c>
      <c r="B29" s="8">
        <v>1.9500000000000001E-7</v>
      </c>
      <c r="C29" s="8">
        <v>1.55E-7</v>
      </c>
      <c r="D29" s="8">
        <v>1.2200000000000001E-7</v>
      </c>
      <c r="E29" s="8">
        <v>1.03E-7</v>
      </c>
      <c r="F29" s="8">
        <v>1.03E-8</v>
      </c>
      <c r="G29" s="8">
        <v>3.4900000000000001E-9</v>
      </c>
      <c r="H29" s="8">
        <v>1.3000000000000001E-9</v>
      </c>
    </row>
    <row r="30" spans="1:8" x14ac:dyDescent="0.35">
      <c r="A30" s="8">
        <v>1.99E-7</v>
      </c>
      <c r="B30" s="8">
        <v>1.9600000000000001E-7</v>
      </c>
      <c r="C30" s="8">
        <v>1.6400000000000001E-7</v>
      </c>
      <c r="D30" s="8">
        <v>1.36E-7</v>
      </c>
      <c r="E30" s="8">
        <v>1.18E-7</v>
      </c>
      <c r="F30" s="8">
        <v>1.42E-8</v>
      </c>
      <c r="G30" s="8">
        <v>4.7600000000000001E-9</v>
      </c>
      <c r="H30" s="8">
        <v>1.74E-9</v>
      </c>
    </row>
    <row r="31" spans="1:8" x14ac:dyDescent="0.35">
      <c r="A31" s="8">
        <v>1.99E-7</v>
      </c>
      <c r="B31" s="8">
        <v>1.97E-7</v>
      </c>
      <c r="C31" s="8">
        <v>1.72E-7</v>
      </c>
      <c r="D31" s="8">
        <v>1.48E-7</v>
      </c>
      <c r="E31" s="8">
        <v>1.3199999999999999E-7</v>
      </c>
      <c r="F31" s="8">
        <v>1.9499999999999999E-8</v>
      </c>
      <c r="G31" s="8">
        <v>6.5199999999999998E-9</v>
      </c>
      <c r="H31" s="8">
        <v>2.33E-9</v>
      </c>
    </row>
    <row r="32" spans="1:8" x14ac:dyDescent="0.35">
      <c r="A32" s="8">
        <v>1.99E-7</v>
      </c>
      <c r="B32" s="8">
        <v>1.98E-7</v>
      </c>
      <c r="C32" s="8">
        <v>1.7800000000000001E-7</v>
      </c>
      <c r="D32" s="8">
        <v>1.5900000000000001E-7</v>
      </c>
      <c r="E32" s="8">
        <v>1.4499999999999999E-7</v>
      </c>
      <c r="F32" s="8">
        <v>2.6400000000000001E-8</v>
      </c>
      <c r="G32" s="8">
        <v>8.9199999999999998E-9</v>
      </c>
      <c r="H32" s="8">
        <v>3.1300000000000002E-9</v>
      </c>
    </row>
    <row r="33" spans="1:8" x14ac:dyDescent="0.35">
      <c r="A33" s="8">
        <v>1.99E-7</v>
      </c>
      <c r="B33" s="8">
        <v>1.98E-7</v>
      </c>
      <c r="C33" s="8">
        <v>1.8300000000000001E-7</v>
      </c>
      <c r="D33" s="8">
        <v>1.67E-7</v>
      </c>
      <c r="E33" s="8">
        <v>1.5599999999999999E-7</v>
      </c>
      <c r="F33" s="8">
        <v>3.5299999999999998E-8</v>
      </c>
      <c r="G33" s="8">
        <v>1.22E-8</v>
      </c>
      <c r="H33" s="8">
        <v>4.2299999999999997E-9</v>
      </c>
    </row>
    <row r="34" spans="1:8" x14ac:dyDescent="0.35">
      <c r="A34" s="8">
        <v>1.99E-7</v>
      </c>
      <c r="B34" s="8">
        <v>1.98E-7</v>
      </c>
      <c r="C34" s="8">
        <v>1.8699999999999999E-7</v>
      </c>
      <c r="D34" s="8">
        <v>1.74E-7</v>
      </c>
      <c r="E34" s="8">
        <v>1.6500000000000001E-7</v>
      </c>
      <c r="F34" s="8">
        <v>4.6299999999999998E-8</v>
      </c>
      <c r="G34" s="8">
        <v>1.66E-8</v>
      </c>
      <c r="H34" s="8">
        <v>5.7100000000000003E-9</v>
      </c>
    </row>
    <row r="35" spans="1:8" x14ac:dyDescent="0.35">
      <c r="A35" s="8">
        <v>1.99E-7</v>
      </c>
      <c r="B35" s="8">
        <v>1.99E-7</v>
      </c>
      <c r="C35" s="8">
        <v>1.8900000000000001E-7</v>
      </c>
      <c r="D35" s="8">
        <v>1.8E-7</v>
      </c>
      <c r="E35" s="8">
        <v>1.73E-7</v>
      </c>
      <c r="F35" s="8">
        <v>5.9300000000000002E-8</v>
      </c>
      <c r="G35" s="8">
        <v>2.2300000000000001E-8</v>
      </c>
      <c r="H35" s="8">
        <v>7.7099999999999992E-9</v>
      </c>
    </row>
    <row r="36" spans="1:8" x14ac:dyDescent="0.35">
      <c r="A36" s="8">
        <v>1.99E-7</v>
      </c>
      <c r="B36" s="8">
        <v>1.99E-7</v>
      </c>
      <c r="C36" s="8">
        <v>1.92E-7</v>
      </c>
      <c r="D36" s="8">
        <v>1.8400000000000001E-7</v>
      </c>
      <c r="E36" s="8">
        <v>1.7800000000000001E-7</v>
      </c>
      <c r="F36" s="8">
        <v>7.3799999999999999E-8</v>
      </c>
      <c r="G36" s="8">
        <v>2.9700000000000001E-8</v>
      </c>
      <c r="H36" s="8">
        <v>1.04E-8</v>
      </c>
    </row>
    <row r="37" spans="1:8" x14ac:dyDescent="0.35">
      <c r="A37" s="8">
        <v>1.99E-7</v>
      </c>
      <c r="B37" s="8">
        <v>1.99E-7</v>
      </c>
      <c r="C37" s="8">
        <v>1.9299999999999999E-7</v>
      </c>
      <c r="D37" s="8">
        <v>1.8699999999999999E-7</v>
      </c>
      <c r="E37" s="8">
        <v>1.8300000000000001E-7</v>
      </c>
      <c r="F37" s="8">
        <v>8.9099999999999997E-8</v>
      </c>
      <c r="G37" s="8">
        <v>3.8999999999999998E-8</v>
      </c>
      <c r="H37" s="8">
        <v>1.4E-8</v>
      </c>
    </row>
    <row r="38" spans="1:8" x14ac:dyDescent="0.35">
      <c r="A38" s="8">
        <v>1.9999999999999999E-7</v>
      </c>
      <c r="B38" s="8">
        <v>1.99E-7</v>
      </c>
      <c r="C38" s="8">
        <v>1.9399999999999999E-7</v>
      </c>
      <c r="D38" s="8">
        <v>1.9000000000000001E-7</v>
      </c>
      <c r="E38" s="8">
        <v>1.86E-7</v>
      </c>
      <c r="F38" s="8">
        <v>1.05E-7</v>
      </c>
      <c r="G38" s="8">
        <v>5.0099999999999999E-8</v>
      </c>
      <c r="H38" s="8">
        <v>1.8699999999999999E-8</v>
      </c>
    </row>
    <row r="39" spans="1:8" x14ac:dyDescent="0.35">
      <c r="A39" s="8">
        <v>1.9999999999999999E-7</v>
      </c>
      <c r="B39" s="8">
        <v>1.99E-7</v>
      </c>
      <c r="C39" s="8">
        <v>1.9500000000000001E-7</v>
      </c>
      <c r="D39" s="8">
        <v>1.91E-7</v>
      </c>
      <c r="E39" s="8">
        <v>1.8900000000000001E-7</v>
      </c>
      <c r="F39" s="8">
        <v>1.1899999999999999E-7</v>
      </c>
      <c r="G39" s="8">
        <v>6.2800000000000006E-8</v>
      </c>
      <c r="H39" s="8">
        <v>2.48E-8</v>
      </c>
    </row>
    <row r="40" spans="1:8" x14ac:dyDescent="0.35">
      <c r="A40" s="8">
        <v>1.9999999999999999E-7</v>
      </c>
      <c r="B40" s="8">
        <v>1.99E-7</v>
      </c>
      <c r="C40" s="8">
        <v>1.9600000000000001E-7</v>
      </c>
      <c r="D40" s="8">
        <v>1.9299999999999999E-7</v>
      </c>
      <c r="E40" s="8">
        <v>1.91E-7</v>
      </c>
      <c r="F40" s="8">
        <v>1.3199999999999999E-7</v>
      </c>
      <c r="G40" s="8">
        <v>7.6700000000000005E-8</v>
      </c>
      <c r="H40" s="8">
        <v>3.2299999999999998E-8</v>
      </c>
    </row>
    <row r="41" spans="1:8" x14ac:dyDescent="0.35">
      <c r="A41" s="8">
        <v>1.9999999999999999E-7</v>
      </c>
      <c r="B41" s="8">
        <v>1.99E-7</v>
      </c>
      <c r="C41" s="8">
        <v>1.9600000000000001E-7</v>
      </c>
      <c r="D41" s="8">
        <v>1.9399999999999999E-7</v>
      </c>
      <c r="E41" s="8">
        <v>1.92E-7</v>
      </c>
      <c r="F41" s="8">
        <v>1.4399999999999999E-7</v>
      </c>
      <c r="G41" s="8">
        <v>9.1100000000000002E-8</v>
      </c>
      <c r="H41" s="8">
        <v>4.1500000000000001E-8</v>
      </c>
    </row>
    <row r="42" spans="1:8" x14ac:dyDescent="0.35">
      <c r="A42" s="8">
        <v>1.9999999999999999E-7</v>
      </c>
      <c r="B42" s="8">
        <v>1.99E-7</v>
      </c>
      <c r="C42" s="8">
        <v>1.97E-7</v>
      </c>
      <c r="D42" s="8">
        <v>1.9500000000000001E-7</v>
      </c>
      <c r="E42" s="8">
        <v>1.9299999999999999E-7</v>
      </c>
      <c r="F42" s="8">
        <v>1.5300000000000001E-7</v>
      </c>
      <c r="G42" s="8">
        <v>1.05E-7</v>
      </c>
      <c r="H42" s="8">
        <v>5.2299999999999998E-8</v>
      </c>
    </row>
    <row r="43" spans="1:8" x14ac:dyDescent="0.35">
      <c r="A43" s="8">
        <v>1.9999999999999999E-7</v>
      </c>
      <c r="B43" s="8">
        <v>1.99E-7</v>
      </c>
      <c r="C43" s="8">
        <v>1.97E-7</v>
      </c>
      <c r="D43" s="8">
        <v>1.9500000000000001E-7</v>
      </c>
      <c r="E43" s="8">
        <v>1.9399999999999999E-7</v>
      </c>
      <c r="F43" s="8">
        <v>1.61E-7</v>
      </c>
      <c r="G43" s="8">
        <v>1.18E-7</v>
      </c>
      <c r="H43" s="8">
        <v>6.43E-8</v>
      </c>
    </row>
    <row r="44" spans="1:8" x14ac:dyDescent="0.35">
      <c r="A44" s="8">
        <v>1.9999999999999999E-7</v>
      </c>
      <c r="B44" s="8">
        <v>1.9999999999999999E-7</v>
      </c>
      <c r="C44" s="8">
        <v>1.98E-7</v>
      </c>
      <c r="D44" s="8">
        <v>1.9600000000000001E-7</v>
      </c>
      <c r="E44" s="8">
        <v>1.9500000000000001E-7</v>
      </c>
      <c r="F44" s="8">
        <v>1.67E-7</v>
      </c>
      <c r="G44" s="8">
        <v>1.3E-7</v>
      </c>
      <c r="H44" s="8">
        <v>7.7000000000000001E-8</v>
      </c>
    </row>
    <row r="45" spans="1:8" x14ac:dyDescent="0.35">
      <c r="A45" s="8">
        <v>1.9999999999999999E-7</v>
      </c>
      <c r="B45" s="8">
        <v>1.9999999999999999E-7</v>
      </c>
      <c r="C45" s="8">
        <v>1.98E-7</v>
      </c>
      <c r="D45" s="8">
        <v>1.9600000000000001E-7</v>
      </c>
      <c r="E45" s="8">
        <v>1.9500000000000001E-7</v>
      </c>
      <c r="F45" s="8">
        <v>1.72E-7</v>
      </c>
      <c r="G45" s="8">
        <v>1.4100000000000001E-7</v>
      </c>
      <c r="H45" s="8">
        <v>9.0100000000000006E-8</v>
      </c>
    </row>
    <row r="46" spans="1:8" x14ac:dyDescent="0.35">
      <c r="A46" s="8">
        <v>1.9999999999999999E-7</v>
      </c>
      <c r="B46" s="8">
        <v>1.9999999999999999E-7</v>
      </c>
      <c r="C46" s="8">
        <v>1.98E-7</v>
      </c>
      <c r="D46" s="8">
        <v>1.97E-7</v>
      </c>
      <c r="E46" s="8">
        <v>1.9600000000000001E-7</v>
      </c>
      <c r="F46" s="8">
        <v>1.7599999999999999E-7</v>
      </c>
      <c r="G46" s="8">
        <v>1.49E-7</v>
      </c>
      <c r="H46" s="8">
        <v>1.03E-7</v>
      </c>
    </row>
    <row r="47" spans="1:8" x14ac:dyDescent="0.35">
      <c r="A47" s="8"/>
      <c r="B47" s="8"/>
      <c r="C47" s="8"/>
      <c r="D47" s="8"/>
      <c r="E47" s="8"/>
      <c r="F47" s="8"/>
      <c r="G47" s="8"/>
      <c r="H47" s="8"/>
    </row>
    <row r="48" spans="1:8" x14ac:dyDescent="0.35">
      <c r="A48" s="8"/>
      <c r="B48" s="8"/>
      <c r="C48" s="8"/>
      <c r="D48" s="8"/>
      <c r="E48" s="8"/>
      <c r="F48" s="8"/>
      <c r="G48" s="8"/>
      <c r="H48" s="8"/>
    </row>
    <row r="49" spans="1:8" x14ac:dyDescent="0.35">
      <c r="A49" s="8"/>
      <c r="B49" s="8"/>
      <c r="C49" s="8"/>
      <c r="D49" s="8"/>
      <c r="E49" s="8"/>
      <c r="F49" s="8"/>
      <c r="G49" s="8"/>
      <c r="H49" s="8"/>
    </row>
    <row r="50" spans="1:8" x14ac:dyDescent="0.35">
      <c r="A50" s="8"/>
      <c r="B50" s="8"/>
      <c r="C50" s="8"/>
      <c r="D50" s="8"/>
      <c r="E50" s="8"/>
      <c r="F50" s="8"/>
      <c r="G50" s="8"/>
      <c r="H50" s="8"/>
    </row>
    <row r="51" spans="1:8" x14ac:dyDescent="0.35">
      <c r="A51" s="8"/>
      <c r="B51" s="8"/>
      <c r="C51" s="8"/>
      <c r="D51" s="8"/>
      <c r="E51" s="8"/>
      <c r="F51" s="8"/>
      <c r="G51" s="8"/>
      <c r="H5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NormFluoro</vt:lpstr>
      <vt:lpstr>weights</vt:lpstr>
      <vt:lpstr>conc</vt:lpstr>
      <vt:lpstr>KD</vt:lpstr>
      <vt:lpstr>Y</vt:lpstr>
      <vt:lpstr>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Oloff, Esther</dc:creator>
  <cp:keywords/>
  <dc:description/>
  <cp:lastModifiedBy>Esther Oloff</cp:lastModifiedBy>
  <cp:revision/>
  <dcterms:created xsi:type="dcterms:W3CDTF">2022-07-25T16:53:14Z</dcterms:created>
  <dcterms:modified xsi:type="dcterms:W3CDTF">2025-11-08T03:15:28Z</dcterms:modified>
  <cp:category/>
  <cp:contentStatus/>
</cp:coreProperties>
</file>