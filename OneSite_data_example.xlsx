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95f6200f8a9b68/Documents/MATLAB/Github code/"/>
    </mc:Choice>
  </mc:AlternateContent>
  <xr:revisionPtr revIDLastSave="1" documentId="8_{81D69B46-CA7C-4526-919B-54C0B2AEFFB8}" xr6:coauthVersionLast="47" xr6:coauthVersionMax="47" xr10:uidLastSave="{187571F9-88F0-4C30-8CB5-D2A60C4EFA81}"/>
  <bookViews>
    <workbookView xWindow="-110" yWindow="-110" windowWidth="19420" windowHeight="11500" activeTab="3" xr2:uid="{9D9801E6-98A2-449D-AACF-24B413E0AD33}"/>
  </bookViews>
  <sheets>
    <sheet name="NormFluoro" sheetId="9" r:id="rId1"/>
    <sheet name="weights" sheetId="10" r:id="rId2"/>
    <sheet name="conc" sheetId="6" r:id="rId3"/>
    <sheet name="KD" sheetId="12" r:id="rId4"/>
    <sheet name="Y" sheetId="16" r:id="rId5"/>
    <sheet name="B" sheetId="1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A1" i="6"/>
  <c r="H1" i="6"/>
  <c r="G1" i="6"/>
  <c r="F1" i="6"/>
  <c r="E1" i="6"/>
  <c r="D1" i="6"/>
  <c r="C1" i="6"/>
</calcChain>
</file>

<file path=xl/sharedStrings.xml><?xml version="1.0" encoding="utf-8"?>
<sst xmlns="http://schemas.openxmlformats.org/spreadsheetml/2006/main" count="14" uniqueCount="14">
  <si>
    <t>Temperature</t>
  </si>
  <si>
    <t>NTC</t>
  </si>
  <si>
    <t>0uM</t>
  </si>
  <si>
    <t>0.05uM</t>
  </si>
  <si>
    <t>0.1uM</t>
  </si>
  <si>
    <t>0.5uM</t>
  </si>
  <si>
    <t>0.8uM</t>
  </si>
  <si>
    <t>1uM</t>
  </si>
  <si>
    <t>5uM</t>
  </si>
  <si>
    <t>10uM</t>
  </si>
  <si>
    <t>20uM</t>
  </si>
  <si>
    <t>KD1 (uM)</t>
  </si>
  <si>
    <t>KD_YY</t>
  </si>
  <si>
    <t>K3_ave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</si>
</sst>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.25"/>
      <name val="Microsoft Sans Serif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11" fontId="0" fillId="0" borderId="0" xfId="0" applyNumberFormat="1"/>
    <xf numFmtId="0" fontId="1" fillId="0" borderId="0" xfId="0" applyFont="1" applyAlignment="1">
      <alignment vertical="top"/>
    </xf>
    <xf numFmtId="0" fontId="3" fillId="0" borderId="0" xfId="0" applyFont="1"/>
    <xf numFmtId="11" fontId="3" fillId="0" borderId="0" xfId="0" applyNumberFormat="1" applyFont="1"/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06C1-470D-492A-8A23-0D392E1D41C5}">
  <dimension ref="A1:Q82"/>
  <sheetViews>
    <sheetView workbookViewId="0">
      <selection activeCell="C2" sqref="C2:K82"/>
    </sheetView>
  </sheetViews>
  <sheetFormatPr defaultRowHeight="14.5" x14ac:dyDescent="0.35"/>
  <sheetData>
    <row r="1" spans="1:17" ht="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</row>
    <row r="2" spans="1:17" x14ac:dyDescent="0.35">
      <c r="A2" s="2">
        <v>10</v>
      </c>
      <c r="B2" s="5">
        <v>0</v>
      </c>
      <c r="C2" s="5">
        <v>0.10016099384350376</v>
      </c>
      <c r="D2" s="5">
        <v>0.21576299406235017</v>
      </c>
      <c r="E2" s="5">
        <v>0.33174152298985948</v>
      </c>
      <c r="F2" s="5">
        <v>0.98229640336590529</v>
      </c>
      <c r="G2" s="5">
        <v>1.1561996676364061</v>
      </c>
      <c r="H2" s="5">
        <v>1.18028428195541</v>
      </c>
      <c r="I2" s="5">
        <v>1.2824953229666458</v>
      </c>
      <c r="J2" s="5">
        <v>1.2861739573348998</v>
      </c>
      <c r="K2" s="5">
        <v>1.2564592978993312</v>
      </c>
      <c r="M2" s="5"/>
      <c r="N2" s="5"/>
      <c r="O2" s="5"/>
      <c r="P2" s="5"/>
      <c r="Q2" s="5"/>
    </row>
    <row r="3" spans="1:17" x14ac:dyDescent="0.35">
      <c r="A3" s="2">
        <v>11</v>
      </c>
      <c r="B3" s="5">
        <v>0</v>
      </c>
      <c r="C3" s="5">
        <v>0.10094594889508951</v>
      </c>
      <c r="D3" s="5">
        <v>0.2113024374003134</v>
      </c>
      <c r="E3" s="5">
        <v>0.32189933478810562</v>
      </c>
      <c r="F3" s="5">
        <v>0.94718460487362333</v>
      </c>
      <c r="G3" s="5">
        <v>1.1218176331841414</v>
      </c>
      <c r="H3" s="5">
        <v>1.1501977827996901</v>
      </c>
      <c r="I3" s="5">
        <v>1.2777880560019841</v>
      </c>
      <c r="J3" s="5">
        <v>1.2864263592175493</v>
      </c>
      <c r="K3" s="5">
        <v>1.2586012341683623</v>
      </c>
      <c r="M3" s="5"/>
      <c r="N3" s="5"/>
      <c r="O3" s="5"/>
      <c r="P3" s="5"/>
      <c r="Q3" s="5"/>
    </row>
    <row r="4" spans="1:17" x14ac:dyDescent="0.35">
      <c r="A4" s="2">
        <v>12</v>
      </c>
      <c r="B4" s="5">
        <v>0</v>
      </c>
      <c r="C4" s="5">
        <v>0.10166357140858459</v>
      </c>
      <c r="D4" s="5">
        <v>0.20666401900245937</v>
      </c>
      <c r="E4" s="5">
        <v>0.31176407774277509</v>
      </c>
      <c r="F4" s="5">
        <v>0.91117175637245429</v>
      </c>
      <c r="G4" s="5">
        <v>1.0864139481764485</v>
      </c>
      <c r="H4" s="5">
        <v>1.1190983872225775</v>
      </c>
      <c r="I4" s="5">
        <v>1.2721403296631539</v>
      </c>
      <c r="J4" s="5">
        <v>1.28576421435213</v>
      </c>
      <c r="K4" s="5">
        <v>1.2598622121711081</v>
      </c>
      <c r="M4" s="5"/>
      <c r="N4" s="5"/>
      <c r="O4" s="5"/>
      <c r="P4" s="5"/>
      <c r="Q4" s="5"/>
    </row>
    <row r="5" spans="1:17" x14ac:dyDescent="0.35">
      <c r="A5" s="2">
        <v>13</v>
      </c>
      <c r="B5" s="5">
        <v>0</v>
      </c>
      <c r="C5" s="5">
        <v>0.10238598019269383</v>
      </c>
      <c r="D5" s="5">
        <v>0.2019969921956975</v>
      </c>
      <c r="E5" s="5">
        <v>0.30157086076380235</v>
      </c>
      <c r="F5" s="5">
        <v>0.8749509876137469</v>
      </c>
      <c r="G5" s="5">
        <v>1.0508075732312021</v>
      </c>
      <c r="H5" s="5">
        <v>1.0878194392188512</v>
      </c>
      <c r="I5" s="5">
        <v>1.2664605178446606</v>
      </c>
      <c r="J5" s="5">
        <v>1.2850993061705174</v>
      </c>
      <c r="K5" s="5">
        <v>1.2611300059007144</v>
      </c>
      <c r="M5" s="5"/>
      <c r="N5" s="5"/>
      <c r="O5" s="5"/>
      <c r="P5" s="5"/>
      <c r="Q5" s="5"/>
    </row>
    <row r="6" spans="1:17" x14ac:dyDescent="0.35">
      <c r="A6" s="2">
        <v>14</v>
      </c>
      <c r="B6" s="5">
        <v>0</v>
      </c>
      <c r="C6" s="5">
        <v>0.1031125718804586</v>
      </c>
      <c r="D6" s="5">
        <v>0.19730355355212909</v>
      </c>
      <c r="E6" s="5">
        <v>0.29131862284612992</v>
      </c>
      <c r="F6" s="5">
        <v>0.83852158804007904</v>
      </c>
      <c r="G6" s="5">
        <v>1.01499502964682</v>
      </c>
      <c r="H6" s="5">
        <v>1.0563599425665087</v>
      </c>
      <c r="I6" s="5">
        <v>1.2607478186829624</v>
      </c>
      <c r="J6" s="5">
        <v>1.2844305480262188</v>
      </c>
      <c r="K6" s="5">
        <v>1.2624051404311858</v>
      </c>
      <c r="M6" s="5"/>
      <c r="N6" s="5"/>
      <c r="O6" s="5"/>
      <c r="P6" s="5"/>
      <c r="Q6" s="5"/>
    </row>
    <row r="7" spans="1:17" x14ac:dyDescent="0.35">
      <c r="A7" s="2">
        <v>15</v>
      </c>
      <c r="B7" s="5">
        <v>0</v>
      </c>
      <c r="C7" s="5">
        <v>0.10384273609738127</v>
      </c>
      <c r="D7" s="5">
        <v>0.19258285997413163</v>
      </c>
      <c r="E7" s="5">
        <v>0.2810057314389488</v>
      </c>
      <c r="F7" s="5">
        <v>0.80187954340781398</v>
      </c>
      <c r="G7" s="5">
        <v>0.97897394716155461</v>
      </c>
      <c r="H7" s="5">
        <v>1.024717759704002</v>
      </c>
      <c r="I7" s="5">
        <v>1.2550014210016214</v>
      </c>
      <c r="J7" s="5">
        <v>1.2837579063839644</v>
      </c>
      <c r="K7" s="5">
        <v>1.2636881469347607</v>
      </c>
      <c r="M7" s="5"/>
      <c r="N7" s="5"/>
      <c r="O7" s="5"/>
      <c r="P7" s="5"/>
      <c r="Q7" s="5"/>
    </row>
    <row r="8" spans="1:17" x14ac:dyDescent="0.35">
      <c r="A8" s="2">
        <v>16</v>
      </c>
      <c r="B8" s="5">
        <v>0</v>
      </c>
      <c r="C8" s="5">
        <v>0.1045778014394548</v>
      </c>
      <c r="D8" s="5">
        <v>0.18783467336509571</v>
      </c>
      <c r="E8" s="5">
        <v>0.27063446093701754</v>
      </c>
      <c r="F8" s="5">
        <v>0.76502464858418617</v>
      </c>
      <c r="G8" s="5">
        <v>0.9427436561857484</v>
      </c>
      <c r="H8" s="5">
        <v>0.99289129470134085</v>
      </c>
      <c r="I8" s="5">
        <v>1.2492231353644137</v>
      </c>
      <c r="J8" s="5">
        <v>1.283080812900385</v>
      </c>
      <c r="K8" s="5">
        <v>1.2649790941802788</v>
      </c>
      <c r="M8" s="5"/>
      <c r="N8" s="5"/>
      <c r="O8" s="5"/>
      <c r="P8" s="5"/>
      <c r="Q8" s="5"/>
    </row>
    <row r="9" spans="1:17" x14ac:dyDescent="0.35">
      <c r="A9" s="2">
        <v>17</v>
      </c>
      <c r="B9" s="5">
        <v>0</v>
      </c>
      <c r="C9" s="5">
        <v>0.10532192011271574</v>
      </c>
      <c r="D9" s="5">
        <v>0.18294503376569893</v>
      </c>
      <c r="E9" s="5">
        <v>0.26010926279219582</v>
      </c>
      <c r="F9" s="5">
        <v>0.72788952221461278</v>
      </c>
      <c r="G9" s="5">
        <v>0.9049191902171293</v>
      </c>
      <c r="H9" s="5">
        <v>0.95884985796925182</v>
      </c>
      <c r="I9" s="5">
        <v>1.2419949825190282</v>
      </c>
      <c r="J9" s="5">
        <v>1.2816838581255794</v>
      </c>
      <c r="K9" s="5">
        <v>1.2658645314551653</v>
      </c>
      <c r="M9" s="5"/>
      <c r="N9" s="5"/>
      <c r="O9" s="5"/>
      <c r="P9" s="5"/>
      <c r="Q9" s="5"/>
    </row>
    <row r="10" spans="1:17" x14ac:dyDescent="0.35">
      <c r="A10" s="2">
        <v>18</v>
      </c>
      <c r="B10" s="5">
        <v>0</v>
      </c>
      <c r="C10" s="5">
        <v>0.1059833214065682</v>
      </c>
      <c r="D10" s="5">
        <v>0.17800185842716662</v>
      </c>
      <c r="E10" s="5">
        <v>0.24953609137128294</v>
      </c>
      <c r="F10" s="5">
        <v>0.69070900209233754</v>
      </c>
      <c r="G10" s="5">
        <v>0.86583035339119407</v>
      </c>
      <c r="H10" s="5">
        <v>0.9229026958616604</v>
      </c>
      <c r="I10" s="5">
        <v>1.233188456305222</v>
      </c>
      <c r="J10" s="5">
        <v>1.2794121090170916</v>
      </c>
      <c r="K10" s="5">
        <v>1.266365794981664</v>
      </c>
      <c r="M10" s="5"/>
      <c r="N10" s="5"/>
      <c r="O10" s="5"/>
      <c r="P10" s="5"/>
      <c r="Q10" s="5"/>
    </row>
    <row r="11" spans="1:17" x14ac:dyDescent="0.35">
      <c r="A11" s="2">
        <v>19</v>
      </c>
      <c r="B11" s="5">
        <v>0</v>
      </c>
      <c r="C11" s="5">
        <v>0.10661222411751736</v>
      </c>
      <c r="D11" s="5">
        <v>0.17305342913565316</v>
      </c>
      <c r="E11" s="5">
        <v>0.239074702425358</v>
      </c>
      <c r="F11" s="5">
        <v>0.65374188813656653</v>
      </c>
      <c r="G11" s="5">
        <v>0.82574805002858875</v>
      </c>
      <c r="H11" s="5">
        <v>0.88536643937167925</v>
      </c>
      <c r="I11" s="5">
        <v>1.2226749570489521</v>
      </c>
      <c r="J11" s="5">
        <v>1.2761890088778103</v>
      </c>
      <c r="K11" s="5">
        <v>1.2664461315245477</v>
      </c>
      <c r="M11" s="5"/>
      <c r="N11" s="5"/>
      <c r="O11" s="5"/>
      <c r="P11" s="5"/>
      <c r="Q11" s="5"/>
    </row>
    <row r="12" spans="1:17" x14ac:dyDescent="0.35">
      <c r="A12" s="2">
        <v>20</v>
      </c>
      <c r="B12" s="5">
        <v>0</v>
      </c>
      <c r="C12" s="5">
        <v>0.10714617069263438</v>
      </c>
      <c r="D12" s="5">
        <v>0.16811954885125444</v>
      </c>
      <c r="E12" s="5">
        <v>0.22876194259747273</v>
      </c>
      <c r="F12" s="5">
        <v>0.61717043113879566</v>
      </c>
      <c r="G12" s="5">
        <v>0.78499079048843579</v>
      </c>
      <c r="H12" s="5">
        <v>0.84647854557990176</v>
      </c>
      <c r="I12" s="5">
        <v>1.2102905905097507</v>
      </c>
      <c r="J12" s="5">
        <v>1.2717629115733815</v>
      </c>
      <c r="K12" s="5">
        <v>1.2659353319379432</v>
      </c>
      <c r="M12" s="5"/>
      <c r="N12" s="5"/>
      <c r="O12" s="5"/>
      <c r="P12" s="5"/>
      <c r="Q12" s="5"/>
    </row>
    <row r="13" spans="1:17" x14ac:dyDescent="0.35">
      <c r="A13" s="2">
        <v>21</v>
      </c>
      <c r="B13" s="5">
        <v>0</v>
      </c>
      <c r="C13" s="5">
        <v>0.10744199852272239</v>
      </c>
      <c r="D13" s="5">
        <v>0.16316349670597211</v>
      </c>
      <c r="E13" s="5">
        <v>0.2186465982661196</v>
      </c>
      <c r="F13" s="5">
        <v>0.58120289095183397</v>
      </c>
      <c r="G13" s="5">
        <v>0.74397437394173183</v>
      </c>
      <c r="H13" s="5">
        <v>0.80656803640281782</v>
      </c>
      <c r="I13" s="5">
        <v>1.1958764531022621</v>
      </c>
      <c r="J13" s="5">
        <v>1.2660972542150379</v>
      </c>
      <c r="K13" s="5">
        <v>1.2647990858792788</v>
      </c>
      <c r="M13" s="5"/>
      <c r="N13" s="5"/>
      <c r="O13" s="5"/>
      <c r="P13" s="5"/>
      <c r="Q13" s="5"/>
    </row>
    <row r="14" spans="1:17" x14ac:dyDescent="0.35">
      <c r="A14" s="2">
        <v>22</v>
      </c>
      <c r="B14" s="5">
        <v>0</v>
      </c>
      <c r="C14" s="5">
        <v>0.10758621558362583</v>
      </c>
      <c r="D14" s="5">
        <v>0.15831320881855024</v>
      </c>
      <c r="E14" s="5">
        <v>0.20886803279321897</v>
      </c>
      <c r="F14" s="5">
        <v>0.54606156159794861</v>
      </c>
      <c r="G14" s="5">
        <v>0.70303317694024947</v>
      </c>
      <c r="H14" s="5">
        <v>0.76613255950050607</v>
      </c>
      <c r="I14" s="5">
        <v>1.1793692535990563</v>
      </c>
      <c r="J14" s="5">
        <v>1.2590939300357467</v>
      </c>
      <c r="K14" s="5">
        <v>1.2630172065978926</v>
      </c>
      <c r="M14" s="5"/>
      <c r="N14" s="5"/>
      <c r="O14" s="5"/>
      <c r="P14" s="5"/>
      <c r="Q14" s="5"/>
    </row>
    <row r="15" spans="1:17" x14ac:dyDescent="0.35">
      <c r="A15" s="2">
        <v>23</v>
      </c>
      <c r="B15" s="5">
        <v>0</v>
      </c>
      <c r="C15" s="5">
        <v>0.10763072827589222</v>
      </c>
      <c r="D15" s="5">
        <v>0.15357939201233245</v>
      </c>
      <c r="E15" s="5">
        <v>0.19949901670406359</v>
      </c>
      <c r="F15" s="5">
        <v>0.51197771457814067</v>
      </c>
      <c r="G15" s="5">
        <v>0.66250420262954601</v>
      </c>
      <c r="H15" s="5">
        <v>0.72551973490418287</v>
      </c>
      <c r="I15" s="5">
        <v>1.1607418715271616</v>
      </c>
      <c r="J15" s="5">
        <v>1.2507003653039519</v>
      </c>
      <c r="K15" s="5">
        <v>1.2604931633967875</v>
      </c>
      <c r="M15" s="5"/>
      <c r="N15" s="5"/>
      <c r="O15" s="5"/>
      <c r="P15" s="5"/>
      <c r="Q15" s="5"/>
    </row>
    <row r="16" spans="1:17" x14ac:dyDescent="0.35">
      <c r="A16" s="2">
        <v>24</v>
      </c>
      <c r="B16" s="5">
        <v>0</v>
      </c>
      <c r="C16" s="5">
        <v>0.10754506082698705</v>
      </c>
      <c r="D16" s="5">
        <v>0.14897700344387255</v>
      </c>
      <c r="E16" s="5">
        <v>0.19058570698709643</v>
      </c>
      <c r="F16" s="5">
        <v>0.47917550107318363</v>
      </c>
      <c r="G16" s="5">
        <v>0.62278962814355376</v>
      </c>
      <c r="H16" s="5">
        <v>0.68515167964508805</v>
      </c>
      <c r="I16" s="5">
        <v>1.1400461870326857</v>
      </c>
      <c r="J16" s="5">
        <v>1.2409155357939998</v>
      </c>
      <c r="K16" s="5">
        <v>1.2572337650944609</v>
      </c>
      <c r="M16" s="5"/>
      <c r="N16" s="5"/>
      <c r="O16" s="5"/>
      <c r="P16" s="5"/>
      <c r="Q16" s="5"/>
    </row>
    <row r="17" spans="1:17" x14ac:dyDescent="0.35">
      <c r="A17" s="2">
        <v>25</v>
      </c>
      <c r="B17" s="5">
        <v>0</v>
      </c>
      <c r="C17" s="5">
        <v>0.10734207686229558</v>
      </c>
      <c r="D17" s="5">
        <v>0.14459210490059671</v>
      </c>
      <c r="E17" s="5">
        <v>0.18225878287962843</v>
      </c>
      <c r="F17" s="5">
        <v>0.44784242137396285</v>
      </c>
      <c r="G17" s="5">
        <v>0.5842484919753359</v>
      </c>
      <c r="H17" s="5">
        <v>0.64549138081996804</v>
      </c>
      <c r="I17" s="5">
        <v>1.1173501044389971</v>
      </c>
      <c r="J17" s="5">
        <v>1.2296500515846507</v>
      </c>
      <c r="K17" s="5">
        <v>1.2533012246454189</v>
      </c>
      <c r="M17" s="5"/>
      <c r="N17" s="5"/>
      <c r="O17" s="5"/>
      <c r="P17" s="5"/>
      <c r="Q17" s="5"/>
    </row>
    <row r="18" spans="1:17" x14ac:dyDescent="0.35">
      <c r="A18" s="2">
        <v>26</v>
      </c>
      <c r="B18" s="5">
        <v>0</v>
      </c>
      <c r="C18" s="5">
        <v>0.1070781365262167</v>
      </c>
      <c r="D18" s="5">
        <v>0.14046988114321907</v>
      </c>
      <c r="E18" s="5">
        <v>0.1744649916548513</v>
      </c>
      <c r="F18" s="5">
        <v>0.41795662188582511</v>
      </c>
      <c r="G18" s="5">
        <v>0.54681768770599437</v>
      </c>
      <c r="H18" s="5">
        <v>0.60659957972421563</v>
      </c>
      <c r="I18" s="5">
        <v>1.0924157565068475</v>
      </c>
      <c r="J18" s="5">
        <v>1.2166542869567953</v>
      </c>
      <c r="K18" s="5">
        <v>1.2484737756623501</v>
      </c>
      <c r="M18" s="5"/>
      <c r="N18" s="5"/>
      <c r="O18" s="5"/>
      <c r="P18" s="5"/>
      <c r="Q18" s="5"/>
    </row>
    <row r="19" spans="1:17" x14ac:dyDescent="0.35">
      <c r="A19" s="2">
        <v>27</v>
      </c>
      <c r="B19" s="5">
        <v>0</v>
      </c>
      <c r="C19" s="5">
        <v>0.10667844520756209</v>
      </c>
      <c r="D19" s="5">
        <v>0.13655468022497577</v>
      </c>
      <c r="E19" s="5">
        <v>0.16717927272610422</v>
      </c>
      <c r="F19" s="5">
        <v>0.38959751576265211</v>
      </c>
      <c r="G19" s="5">
        <v>0.51078731538311473</v>
      </c>
      <c r="H19" s="5">
        <v>0.56873791196236445</v>
      </c>
      <c r="I19" s="5">
        <v>1.0652758198786028</v>
      </c>
      <c r="J19" s="5">
        <v>1.2018415635742286</v>
      </c>
      <c r="K19" s="5">
        <v>1.2426365907579366</v>
      </c>
      <c r="M19" s="5"/>
      <c r="N19" s="5"/>
      <c r="O19" s="5"/>
      <c r="P19" s="5"/>
      <c r="Q19" s="5"/>
    </row>
    <row r="20" spans="1:17" x14ac:dyDescent="0.35">
      <c r="A20" s="2">
        <v>28</v>
      </c>
      <c r="B20" s="5">
        <v>0</v>
      </c>
      <c r="C20" s="5">
        <v>0.10614089739119324</v>
      </c>
      <c r="D20" s="5">
        <v>0.13285868698614239</v>
      </c>
      <c r="E20" s="5">
        <v>0.16036820328105</v>
      </c>
      <c r="F20" s="5">
        <v>0.36283277553076149</v>
      </c>
      <c r="G20" s="5">
        <v>0.47633107631787319</v>
      </c>
      <c r="H20" s="5">
        <v>0.53213326084850099</v>
      </c>
      <c r="I20" s="5">
        <v>1.0359231469558767</v>
      </c>
      <c r="J20" s="5">
        <v>1.1850838437618876</v>
      </c>
      <c r="K20" s="5">
        <v>1.2357364429810436</v>
      </c>
      <c r="M20" s="5"/>
      <c r="N20" s="5"/>
      <c r="O20" s="5"/>
      <c r="P20" s="5"/>
      <c r="Q20" s="5"/>
    </row>
    <row r="21" spans="1:17" x14ac:dyDescent="0.35">
      <c r="A21" s="2">
        <v>29</v>
      </c>
      <c r="B21" s="5">
        <v>0</v>
      </c>
      <c r="C21" s="5">
        <v>0.10547932816558031</v>
      </c>
      <c r="D21" s="5">
        <v>0.12945775622882766</v>
      </c>
      <c r="E21" s="5">
        <v>0.15404585066700166</v>
      </c>
      <c r="F21" s="5">
        <v>0.33763585344648528</v>
      </c>
      <c r="G21" s="5">
        <v>0.44353911007980079</v>
      </c>
      <c r="H21" s="5">
        <v>0.49691596593486476</v>
      </c>
      <c r="I21" s="5">
        <v>1.0043932969500988</v>
      </c>
      <c r="J21" s="5">
        <v>1.1661691422873706</v>
      </c>
      <c r="K21" s="5">
        <v>1.2275331964051222</v>
      </c>
      <c r="M21" s="5"/>
      <c r="N21" s="5"/>
      <c r="O21" s="5"/>
      <c r="P21" s="5"/>
      <c r="Q21" s="5"/>
    </row>
    <row r="22" spans="1:17" x14ac:dyDescent="0.35">
      <c r="A22" s="2">
        <v>30</v>
      </c>
      <c r="B22" s="5">
        <v>0</v>
      </c>
      <c r="C22" s="5">
        <v>0.10472243261269287</v>
      </c>
      <c r="D22" s="5">
        <v>0.1263306909580183</v>
      </c>
      <c r="E22" s="5">
        <v>0.14811488830487457</v>
      </c>
      <c r="F22" s="5">
        <v>0.31403406241642984</v>
      </c>
      <c r="G22" s="5">
        <v>0.41243869540888811</v>
      </c>
      <c r="H22" s="5">
        <v>0.46317920732617002</v>
      </c>
      <c r="I22" s="5">
        <v>0.97072187228154561</v>
      </c>
      <c r="J22" s="5">
        <v>1.1449968587342221</v>
      </c>
      <c r="K22" s="5">
        <v>1.2177486894468978</v>
      </c>
      <c r="M22" s="5"/>
      <c r="N22" s="5"/>
      <c r="O22" s="5"/>
      <c r="P22" s="5"/>
      <c r="Q22" s="5"/>
    </row>
    <row r="23" spans="1:17" x14ac:dyDescent="0.35">
      <c r="A23" s="2">
        <v>31</v>
      </c>
      <c r="B23" s="5">
        <v>0</v>
      </c>
      <c r="C23" s="5">
        <v>0.10390433237812172</v>
      </c>
      <c r="D23" s="5">
        <v>0.12349579267451032</v>
      </c>
      <c r="E23" s="5">
        <v>0.14273322974460828</v>
      </c>
      <c r="F23" s="5">
        <v>0.29238349885272807</v>
      </c>
      <c r="G23" s="5">
        <v>0.38359462424220864</v>
      </c>
      <c r="H23" s="5">
        <v>0.43152750719405186</v>
      </c>
      <c r="I23" s="5">
        <v>0.93568931143929857</v>
      </c>
      <c r="J23" s="5">
        <v>1.1218296458332613</v>
      </c>
      <c r="K23" s="5">
        <v>1.2063754166405511</v>
      </c>
      <c r="M23" s="5"/>
      <c r="N23" s="5"/>
      <c r="O23" s="5"/>
      <c r="P23" s="5"/>
      <c r="Q23" s="5"/>
    </row>
    <row r="24" spans="1:17" x14ac:dyDescent="0.35">
      <c r="A24" s="2">
        <v>32</v>
      </c>
      <c r="B24" s="5">
        <v>0</v>
      </c>
      <c r="C24" s="5">
        <v>0.10314667576937282</v>
      </c>
      <c r="D24" s="5">
        <v>0.12103563876818219</v>
      </c>
      <c r="E24" s="5">
        <v>0.1379104600321033</v>
      </c>
      <c r="F24" s="5">
        <v>0.27274974853253936</v>
      </c>
      <c r="G24" s="5">
        <v>0.35703575873145421</v>
      </c>
      <c r="H24" s="5">
        <v>0.40203557734356982</v>
      </c>
      <c r="I24" s="5">
        <v>0.89956324251233311</v>
      </c>
      <c r="J24" s="5">
        <v>1.0967301112609669</v>
      </c>
      <c r="K24" s="5">
        <v>1.1933621759390232</v>
      </c>
      <c r="M24" s="5"/>
      <c r="N24" s="5"/>
      <c r="O24" s="5"/>
      <c r="P24" s="5"/>
      <c r="Q24" s="5"/>
    </row>
    <row r="25" spans="1:17" x14ac:dyDescent="0.35">
      <c r="A25" s="2">
        <v>33</v>
      </c>
      <c r="B25" s="5">
        <v>0</v>
      </c>
      <c r="C25" s="5">
        <v>0.10248302739952947</v>
      </c>
      <c r="D25" s="5">
        <v>0.11892662370026252</v>
      </c>
      <c r="E25" s="5">
        <v>0.13367406748651059</v>
      </c>
      <c r="F25" s="5">
        <v>0.25501869068782956</v>
      </c>
      <c r="G25" s="5">
        <v>0.33267666483933128</v>
      </c>
      <c r="H25" s="5">
        <v>0.37477566771496518</v>
      </c>
      <c r="I25" s="5">
        <v>0.86273729423123158</v>
      </c>
      <c r="J25" s="5">
        <v>1.0697763900937938</v>
      </c>
      <c r="K25" s="5">
        <v>1.1784856224283773</v>
      </c>
      <c r="M25" s="5"/>
      <c r="N25" s="5"/>
      <c r="O25" s="5"/>
      <c r="P25" s="5"/>
      <c r="Q25" s="5"/>
    </row>
    <row r="26" spans="1:17" x14ac:dyDescent="0.35">
      <c r="A26" s="2">
        <v>34</v>
      </c>
      <c r="B26" s="5">
        <v>0</v>
      </c>
      <c r="C26" s="5">
        <v>0.10196149288548106</v>
      </c>
      <c r="D26" s="5">
        <v>0.11712164285476115</v>
      </c>
      <c r="E26" s="5">
        <v>0.12998649121417544</v>
      </c>
      <c r="F26" s="5">
        <v>0.23918521155893191</v>
      </c>
      <c r="G26" s="5">
        <v>0.31051011914879428</v>
      </c>
      <c r="H26" s="5">
        <v>0.34970108642175601</v>
      </c>
      <c r="I26" s="5">
        <v>0.82553396587859951</v>
      </c>
      <c r="J26" s="5">
        <v>1.0411577470799149</v>
      </c>
      <c r="K26" s="5">
        <v>1.1617921317322601</v>
      </c>
      <c r="M26" s="5"/>
      <c r="N26" s="5"/>
      <c r="O26" s="5"/>
      <c r="P26" s="5"/>
      <c r="Q26" s="5"/>
    </row>
    <row r="27" spans="1:17" x14ac:dyDescent="0.35">
      <c r="A27" s="2">
        <v>35</v>
      </c>
      <c r="B27" s="5">
        <v>0</v>
      </c>
      <c r="C27" s="5">
        <v>0.10162070869804485</v>
      </c>
      <c r="D27" s="5">
        <v>0.11557833238086197</v>
      </c>
      <c r="E27" s="5">
        <v>0.12685517261947898</v>
      </c>
      <c r="F27" s="5">
        <v>0.22511850668450478</v>
      </c>
      <c r="G27" s="5">
        <v>0.29046481753834152</v>
      </c>
      <c r="H27" s="5">
        <v>0.32672735577350065</v>
      </c>
      <c r="I27" s="5">
        <v>0.78830473305381477</v>
      </c>
      <c r="J27" s="5">
        <v>1.0110860263237669</v>
      </c>
      <c r="K27" s="5">
        <v>1.1433099626660945</v>
      </c>
      <c r="M27" s="5"/>
      <c r="N27" s="5"/>
      <c r="O27" s="5"/>
      <c r="P27" s="5"/>
      <c r="Q27" s="5"/>
    </row>
    <row r="28" spans="1:17" x14ac:dyDescent="0.35">
      <c r="A28" s="2">
        <v>36</v>
      </c>
      <c r="B28" s="5">
        <v>0</v>
      </c>
      <c r="C28" s="5">
        <v>0.1014582748253495</v>
      </c>
      <c r="D28" s="5">
        <v>0.11427192711004225</v>
      </c>
      <c r="E28" s="5">
        <v>0.124121730878838</v>
      </c>
      <c r="F28" s="5">
        <v>0.21250120400411784</v>
      </c>
      <c r="G28" s="5">
        <v>0.27219030513995901</v>
      </c>
      <c r="H28" s="5">
        <v>0.305607436865311</v>
      </c>
      <c r="I28" s="5">
        <v>0.75104154381715427</v>
      </c>
      <c r="J28" s="5">
        <v>0.97954998569043705</v>
      </c>
      <c r="K28" s="5">
        <v>1.1230274381219578</v>
      </c>
      <c r="M28" s="5"/>
      <c r="N28" s="5"/>
      <c r="O28" s="5"/>
      <c r="P28" s="5"/>
      <c r="Q28" s="5"/>
    </row>
    <row r="29" spans="1:17" x14ac:dyDescent="0.35">
      <c r="A29" s="2">
        <v>37</v>
      </c>
      <c r="B29" s="5">
        <v>0</v>
      </c>
      <c r="C29" s="5">
        <v>0.10136182129152084</v>
      </c>
      <c r="D29" s="5">
        <v>0.11307339602037506</v>
      </c>
      <c r="E29" s="5">
        <v>0.12169858731790364</v>
      </c>
      <c r="F29" s="5">
        <v>0.20110532576386417</v>
      </c>
      <c r="G29" s="5">
        <v>0.25548516698909984</v>
      </c>
      <c r="H29" s="5">
        <v>0.28613791582961895</v>
      </c>
      <c r="I29" s="5">
        <v>0.71400588782215635</v>
      </c>
      <c r="J29" s="5">
        <v>0.94672586774718026</v>
      </c>
      <c r="K29" s="5">
        <v>1.1009063382888971</v>
      </c>
      <c r="M29" s="5"/>
      <c r="N29" s="5"/>
      <c r="O29" s="5"/>
      <c r="P29" s="5"/>
      <c r="Q29" s="5"/>
    </row>
    <row r="30" spans="1:17" x14ac:dyDescent="0.35">
      <c r="A30" s="2">
        <v>38</v>
      </c>
      <c r="B30" s="5">
        <v>0</v>
      </c>
      <c r="C30" s="5">
        <v>0.10135086547253397</v>
      </c>
      <c r="D30" s="5">
        <v>0.11201049827140604</v>
      </c>
      <c r="E30" s="5">
        <v>0.11956419784313985</v>
      </c>
      <c r="F30" s="5">
        <v>0.19087147697154708</v>
      </c>
      <c r="G30" s="5">
        <v>0.24035179658997674</v>
      </c>
      <c r="H30" s="5">
        <v>0.26826944505279005</v>
      </c>
      <c r="I30" s="5">
        <v>0.67743960136788639</v>
      </c>
      <c r="J30" s="5">
        <v>0.91284877892342786</v>
      </c>
      <c r="K30" s="5">
        <v>1.0771714920049877</v>
      </c>
      <c r="M30" s="5"/>
      <c r="N30" s="5"/>
      <c r="O30" s="5"/>
      <c r="P30" s="5"/>
      <c r="Q30" s="5"/>
    </row>
    <row r="31" spans="1:17" x14ac:dyDescent="0.35">
      <c r="A31" s="2">
        <v>39</v>
      </c>
      <c r="B31" s="5">
        <v>0</v>
      </c>
      <c r="C31" s="5">
        <v>0.1014303749424762</v>
      </c>
      <c r="D31" s="5">
        <v>0.11109373203731078</v>
      </c>
      <c r="E31" s="5">
        <v>0.11769180273009142</v>
      </c>
      <c r="F31" s="5">
        <v>0.18166590646473638</v>
      </c>
      <c r="G31" s="5">
        <v>0.22661566825216581</v>
      </c>
      <c r="H31" s="5">
        <v>0.25199288239075646</v>
      </c>
      <c r="I31" s="5">
        <v>0.64160051390909101</v>
      </c>
      <c r="J31" s="5">
        <v>0.87810162705224959</v>
      </c>
      <c r="K31" s="5">
        <v>1.0518241113740423</v>
      </c>
      <c r="M31" s="5"/>
      <c r="N31" s="5"/>
      <c r="O31" s="5"/>
      <c r="P31" s="5"/>
      <c r="Q31" s="5"/>
    </row>
    <row r="32" spans="1:17" x14ac:dyDescent="0.35">
      <c r="A32" s="2">
        <v>40</v>
      </c>
      <c r="B32" s="5">
        <v>0</v>
      </c>
      <c r="C32" s="5">
        <v>0.10155028867517997</v>
      </c>
      <c r="D32" s="5">
        <v>0.11032295833755786</v>
      </c>
      <c r="E32" s="5">
        <v>0.11604677719601349</v>
      </c>
      <c r="F32" s="5">
        <v>0.17341599522299309</v>
      </c>
      <c r="G32" s="5">
        <v>0.21420847442477134</v>
      </c>
      <c r="H32" s="5">
        <v>0.23723383003187765</v>
      </c>
      <c r="I32" s="5">
        <v>0.60670376125972336</v>
      </c>
      <c r="J32" s="5">
        <v>0.84272389000644599</v>
      </c>
      <c r="K32" s="5">
        <v>1.0249743318345688</v>
      </c>
      <c r="M32" s="5"/>
      <c r="N32" s="5"/>
      <c r="O32" s="5"/>
      <c r="P32" s="5"/>
      <c r="Q32" s="5"/>
    </row>
    <row r="33" spans="1:17" x14ac:dyDescent="0.35">
      <c r="A33" s="2">
        <v>41</v>
      </c>
      <c r="B33" s="5">
        <v>0</v>
      </c>
      <c r="C33" s="5">
        <v>0.10172401290860032</v>
      </c>
      <c r="D33" s="5">
        <v>0.10968879519721123</v>
      </c>
      <c r="E33" s="5">
        <v>0.11464055424998071</v>
      </c>
      <c r="F33" s="5">
        <v>0.16602070231719901</v>
      </c>
      <c r="G33" s="5">
        <v>0.20302051298715368</v>
      </c>
      <c r="H33" s="5">
        <v>0.2238167478391323</v>
      </c>
      <c r="I33" s="5">
        <v>0.57294455615572648</v>
      </c>
      <c r="J33" s="5">
        <v>0.80697381712106242</v>
      </c>
      <c r="K33" s="5">
        <v>0.99666603109752883</v>
      </c>
      <c r="M33" s="5"/>
      <c r="N33" s="5"/>
      <c r="O33" s="5"/>
      <c r="P33" s="5"/>
      <c r="Q33" s="5"/>
    </row>
    <row r="34" spans="1:17" x14ac:dyDescent="0.35">
      <c r="A34" s="2">
        <v>42</v>
      </c>
      <c r="B34" s="5">
        <v>0</v>
      </c>
      <c r="C34" s="5">
        <v>0.10201733609614902</v>
      </c>
      <c r="D34" s="5">
        <v>0.10921704411447626</v>
      </c>
      <c r="E34" s="5">
        <v>0.11348061927665373</v>
      </c>
      <c r="F34" s="5">
        <v>0.15944133813559733</v>
      </c>
      <c r="G34" s="5">
        <v>0.19299110719428095</v>
      </c>
      <c r="H34" s="5">
        <v>0.21175242849459358</v>
      </c>
      <c r="I34" s="5">
        <v>0.54047435556200873</v>
      </c>
      <c r="J34" s="5">
        <v>0.77104577456176215</v>
      </c>
      <c r="K34" s="5">
        <v>0.96703997151032051</v>
      </c>
      <c r="M34" s="5"/>
      <c r="N34" s="5"/>
      <c r="O34" s="5"/>
      <c r="P34" s="5"/>
      <c r="Q34" s="5"/>
    </row>
    <row r="35" spans="1:17" x14ac:dyDescent="0.35">
      <c r="A35" s="2">
        <v>43</v>
      </c>
      <c r="B35" s="5">
        <v>0</v>
      </c>
      <c r="C35" s="5">
        <v>0.10237558942587947</v>
      </c>
      <c r="D35" s="5">
        <v>0.1088676783362689</v>
      </c>
      <c r="E35" s="5">
        <v>0.11251359909397576</v>
      </c>
      <c r="F35" s="5">
        <v>0.1535584993475656</v>
      </c>
      <c r="G35" s="5">
        <v>0.18396103532157668</v>
      </c>
      <c r="H35" s="5">
        <v>0.20086659037140148</v>
      </c>
      <c r="I35" s="5">
        <v>0.50933578623586451</v>
      </c>
      <c r="J35" s="5">
        <v>0.73508896026220738</v>
      </c>
      <c r="K35" s="5">
        <v>0.93608180480304914</v>
      </c>
      <c r="M35" s="5"/>
      <c r="N35" s="5"/>
      <c r="O35" s="5"/>
      <c r="P35" s="5"/>
      <c r="Q35" s="5"/>
    </row>
    <row r="36" spans="1:17" x14ac:dyDescent="0.35">
      <c r="A36" s="2">
        <v>44</v>
      </c>
      <c r="B36" s="5">
        <v>0</v>
      </c>
      <c r="C36" s="5">
        <v>0.1028030451420214</v>
      </c>
      <c r="D36" s="5">
        <v>0.10860856119264985</v>
      </c>
      <c r="E36" s="5">
        <v>0.11178130524136842</v>
      </c>
      <c r="F36" s="5">
        <v>0.14831793940886606</v>
      </c>
      <c r="G36" s="5">
        <v>0.17589847565665653</v>
      </c>
      <c r="H36" s="5">
        <v>0.1910395455820118</v>
      </c>
      <c r="I36" s="5">
        <v>0.47961149089431299</v>
      </c>
      <c r="J36" s="5">
        <v>0.69936277537791269</v>
      </c>
      <c r="K36" s="5">
        <v>0.90398772249582082</v>
      </c>
      <c r="M36" s="5"/>
      <c r="N36" s="5"/>
      <c r="O36" s="5"/>
      <c r="P36" s="5"/>
      <c r="Q36" s="5"/>
    </row>
    <row r="37" spans="1:17" x14ac:dyDescent="0.35">
      <c r="A37" s="2">
        <v>45</v>
      </c>
      <c r="B37" s="5">
        <v>0</v>
      </c>
      <c r="C37" s="5">
        <v>0.10330641789657649</v>
      </c>
      <c r="D37" s="5">
        <v>0.10845799709177965</v>
      </c>
      <c r="E37" s="5">
        <v>0.1112751666670012</v>
      </c>
      <c r="F37" s="5">
        <v>0.14371670962036392</v>
      </c>
      <c r="G37" s="5">
        <v>0.16871571647736233</v>
      </c>
      <c r="H37" s="5">
        <v>0.18226073751860594</v>
      </c>
      <c r="I37" s="5">
        <v>0.45151734051983217</v>
      </c>
      <c r="J37" s="5">
        <v>0.66420977557582284</v>
      </c>
      <c r="K37" s="5">
        <v>0.87108549017393833</v>
      </c>
      <c r="M37" s="5"/>
      <c r="N37" s="5"/>
      <c r="O37" s="5"/>
      <c r="P37" s="5"/>
      <c r="Q37" s="5"/>
    </row>
    <row r="38" spans="1:17" x14ac:dyDescent="0.35">
      <c r="A38" s="2">
        <v>46</v>
      </c>
      <c r="B38" s="5">
        <v>0</v>
      </c>
      <c r="C38" s="5">
        <v>0.10391499102838948</v>
      </c>
      <c r="D38" s="5">
        <v>0.1084415477195923</v>
      </c>
      <c r="E38" s="5">
        <v>0.11104054380020499</v>
      </c>
      <c r="F38" s="5">
        <v>0.13976580924160784</v>
      </c>
      <c r="G38" s="5">
        <v>0.16241542963414532</v>
      </c>
      <c r="H38" s="5">
        <v>0.17452569449174946</v>
      </c>
      <c r="I38" s="5">
        <v>0.4251376526384491</v>
      </c>
      <c r="J38" s="5">
        <v>0.62985244231516624</v>
      </c>
      <c r="K38" s="5">
        <v>0.8376158310928119</v>
      </c>
      <c r="M38" s="5"/>
      <c r="N38" s="5"/>
      <c r="O38" s="5"/>
      <c r="P38" s="5"/>
      <c r="Q38" s="5"/>
    </row>
    <row r="39" spans="1:17" x14ac:dyDescent="0.35">
      <c r="A39" s="2">
        <v>47</v>
      </c>
      <c r="B39" s="5">
        <v>0</v>
      </c>
      <c r="C39" s="5">
        <v>0.10468094049675146</v>
      </c>
      <c r="D39" s="5">
        <v>0.10867751512410238</v>
      </c>
      <c r="E39" s="5">
        <v>0.111124823268806</v>
      </c>
      <c r="F39" s="5">
        <v>0.13647404854830403</v>
      </c>
      <c r="G39" s="5">
        <v>0.15699169714082303</v>
      </c>
      <c r="H39" s="5">
        <v>0.16775874778924471</v>
      </c>
      <c r="I39" s="5">
        <v>0.40052844623274203</v>
      </c>
      <c r="J39" s="5">
        <v>0.59655954717687487</v>
      </c>
      <c r="K39" s="5">
        <v>0.80386275951473551</v>
      </c>
      <c r="M39" s="5"/>
      <c r="N39" s="5"/>
      <c r="O39" s="5"/>
      <c r="P39" s="5"/>
      <c r="Q39" s="5"/>
    </row>
    <row r="40" spans="1:17" x14ac:dyDescent="0.35">
      <c r="A40" s="2">
        <v>48</v>
      </c>
      <c r="B40" s="5">
        <v>0</v>
      </c>
      <c r="C40" s="5">
        <v>0.10575964743638434</v>
      </c>
      <c r="D40" s="5">
        <v>0.10924366902332265</v>
      </c>
      <c r="E40" s="5">
        <v>0.11161125417181618</v>
      </c>
      <c r="F40" s="5">
        <v>0.13391501887173909</v>
      </c>
      <c r="G40" s="5">
        <v>0.15246700557115078</v>
      </c>
      <c r="H40" s="5">
        <v>0.16202500031347583</v>
      </c>
      <c r="I40" s="5">
        <v>0.37783002369795216</v>
      </c>
      <c r="J40" s="5">
        <v>0.56461374059674596</v>
      </c>
      <c r="K40" s="5">
        <v>0.77012735997757054</v>
      </c>
      <c r="M40" s="5"/>
      <c r="N40" s="5"/>
      <c r="O40" s="5"/>
      <c r="P40" s="5"/>
      <c r="Q40" s="5"/>
    </row>
    <row r="41" spans="1:17" x14ac:dyDescent="0.35">
      <c r="A41" s="2">
        <v>49</v>
      </c>
      <c r="B41" s="5">
        <v>0</v>
      </c>
      <c r="C41" s="5">
        <v>0.10710222075801046</v>
      </c>
      <c r="D41" s="5">
        <v>0.1101720762017611</v>
      </c>
      <c r="E41" s="5">
        <v>0.11244545162897153</v>
      </c>
      <c r="F41" s="5">
        <v>0.13211630934492324</v>
      </c>
      <c r="G41" s="5">
        <v>0.14880997493177581</v>
      </c>
      <c r="H41" s="5">
        <v>0.15726133933106173</v>
      </c>
      <c r="I41" s="5">
        <v>0.35701467969168527</v>
      </c>
      <c r="J41" s="5">
        <v>0.53413044808691401</v>
      </c>
      <c r="K41" s="5">
        <v>0.73657974043246288</v>
      </c>
      <c r="M41" s="5"/>
      <c r="N41" s="5"/>
      <c r="O41" s="5"/>
      <c r="P41" s="5"/>
      <c r="Q41" s="5"/>
    </row>
    <row r="42" spans="1:17" x14ac:dyDescent="0.35">
      <c r="A42" s="2">
        <v>50</v>
      </c>
      <c r="B42" s="5">
        <v>0</v>
      </c>
      <c r="C42" s="5">
        <v>0.108833051700155</v>
      </c>
      <c r="D42" s="5">
        <v>0.11154116246187386</v>
      </c>
      <c r="E42" s="5">
        <v>0.11372972647755847</v>
      </c>
      <c r="F42" s="5">
        <v>0.13104048926738154</v>
      </c>
      <c r="G42" s="5">
        <v>0.14604516770190035</v>
      </c>
      <c r="H42" s="5">
        <v>0.15339951330548793</v>
      </c>
      <c r="I42" s="5">
        <v>0.33786658139670367</v>
      </c>
      <c r="J42" s="5">
        <v>0.50498242767007806</v>
      </c>
      <c r="K42" s="5">
        <v>0.70308655505608697</v>
      </c>
      <c r="M42" s="5"/>
      <c r="N42" s="5"/>
      <c r="O42" s="5"/>
      <c r="P42" s="5"/>
      <c r="Q42" s="5"/>
    </row>
    <row r="43" spans="1:17" x14ac:dyDescent="0.35">
      <c r="A43" s="2">
        <v>51</v>
      </c>
      <c r="B43" s="5">
        <v>0</v>
      </c>
      <c r="C43" s="5">
        <v>0.11104267868772108</v>
      </c>
      <c r="D43" s="5">
        <v>0.11344707418321449</v>
      </c>
      <c r="E43" s="5">
        <v>0.11553819449365477</v>
      </c>
      <c r="F43" s="5">
        <v>0.13073484774829322</v>
      </c>
      <c r="G43" s="5">
        <v>0.1441676468938663</v>
      </c>
      <c r="H43" s="5">
        <v>0.15048671802782479</v>
      </c>
      <c r="I43" s="5">
        <v>0.32036737145546512</v>
      </c>
      <c r="J43" s="5">
        <v>0.47729031692855872</v>
      </c>
      <c r="K43" s="5">
        <v>0.66991237667201065</v>
      </c>
      <c r="M43" s="5"/>
      <c r="N43" s="5"/>
      <c r="O43" s="5"/>
      <c r="P43" s="5"/>
      <c r="Q43" s="5"/>
    </row>
    <row r="44" spans="1:17" x14ac:dyDescent="0.35">
      <c r="A44" s="2">
        <v>52</v>
      </c>
      <c r="B44" s="5">
        <v>0</v>
      </c>
      <c r="C44" s="5">
        <v>0.11385936411494968</v>
      </c>
      <c r="D44" s="5">
        <v>0.11601993454416264</v>
      </c>
      <c r="E44" s="5">
        <v>0.11805707432228041</v>
      </c>
      <c r="F44" s="5">
        <v>0.13132260124997919</v>
      </c>
      <c r="G44" s="5">
        <v>0.14331479543364758</v>
      </c>
      <c r="H44" s="5">
        <v>0.14867858160443737</v>
      </c>
      <c r="I44" s="5">
        <v>0.3046474280011055</v>
      </c>
      <c r="J44" s="5">
        <v>0.45122806392337284</v>
      </c>
      <c r="K44" s="5">
        <v>0.63721709840666751</v>
      </c>
      <c r="M44" s="5"/>
      <c r="N44" s="5"/>
      <c r="O44" s="5"/>
      <c r="P44" s="5"/>
      <c r="Q44" s="5"/>
    </row>
    <row r="45" spans="1:17" x14ac:dyDescent="0.35">
      <c r="A45" s="2">
        <v>53</v>
      </c>
      <c r="B45" s="5">
        <v>0</v>
      </c>
      <c r="C45" s="5">
        <v>0.11738108984220751</v>
      </c>
      <c r="D45" s="5">
        <v>0.11944196981730235</v>
      </c>
      <c r="E45" s="5">
        <v>0.12143088912666218</v>
      </c>
      <c r="F45" s="5">
        <v>0.13292555345941534</v>
      </c>
      <c r="G45" s="5">
        <v>0.14363633896146619</v>
      </c>
      <c r="H45" s="5">
        <v>0.14804874084206712</v>
      </c>
      <c r="I45" s="5">
        <v>0.29079233897130069</v>
      </c>
      <c r="J45" s="5">
        <v>0.42695960927592164</v>
      </c>
      <c r="K45" s="5">
        <v>0.60532869729011352</v>
      </c>
      <c r="M45" s="5"/>
      <c r="N45" s="5"/>
      <c r="O45" s="5"/>
      <c r="P45" s="5"/>
      <c r="Q45" s="5"/>
    </row>
    <row r="46" spans="1:17" x14ac:dyDescent="0.35">
      <c r="A46" s="2">
        <v>54</v>
      </c>
      <c r="B46" s="5">
        <v>0</v>
      </c>
      <c r="C46" s="5">
        <v>0.12191568538771327</v>
      </c>
      <c r="D46" s="5">
        <v>0.12394376846877661</v>
      </c>
      <c r="E46" s="5">
        <v>0.12587301182743935</v>
      </c>
      <c r="F46" s="5">
        <v>0.13572547846976368</v>
      </c>
      <c r="G46" s="5">
        <v>0.1453294837384683</v>
      </c>
      <c r="H46" s="5">
        <v>0.14881365769471161</v>
      </c>
      <c r="I46" s="5">
        <v>0.27901753845517219</v>
      </c>
      <c r="J46" s="5">
        <v>0.40475489830818223</v>
      </c>
      <c r="K46" s="5">
        <v>0.57457334718573239</v>
      </c>
      <c r="M46" s="5"/>
      <c r="N46" s="5"/>
      <c r="O46" s="5"/>
      <c r="P46" s="5"/>
      <c r="Q46" s="5"/>
    </row>
    <row r="47" spans="1:17" x14ac:dyDescent="0.35">
      <c r="A47" s="2">
        <v>55</v>
      </c>
      <c r="B47" s="5">
        <v>0</v>
      </c>
      <c r="C47" s="5">
        <v>0.12772833733532488</v>
      </c>
      <c r="D47" s="5">
        <v>0.12979685393645826</v>
      </c>
      <c r="E47" s="5">
        <v>0.13165776485613237</v>
      </c>
      <c r="F47" s="5">
        <v>0.14000995732846633</v>
      </c>
      <c r="G47" s="5">
        <v>0.14862872607010782</v>
      </c>
      <c r="H47" s="5">
        <v>0.15129971247330035</v>
      </c>
      <c r="I47" s="5">
        <v>0.26965633147648027</v>
      </c>
      <c r="J47" s="5">
        <v>0.38505297057361915</v>
      </c>
      <c r="K47" s="5">
        <v>0.5456869218350282</v>
      </c>
      <c r="M47" s="5"/>
      <c r="N47" s="5"/>
      <c r="O47" s="5"/>
      <c r="P47" s="5"/>
      <c r="Q47" s="5"/>
    </row>
    <row r="48" spans="1:17" x14ac:dyDescent="0.35">
      <c r="A48" s="2">
        <v>56</v>
      </c>
      <c r="B48" s="5">
        <v>0</v>
      </c>
      <c r="C48" s="5">
        <v>0.13510503876739755</v>
      </c>
      <c r="D48" s="5">
        <v>0.13726190373797911</v>
      </c>
      <c r="E48" s="5">
        <v>0.13901955185193904</v>
      </c>
      <c r="F48" s="5">
        <v>0.14606747395947814</v>
      </c>
      <c r="G48" s="5">
        <v>0.1537783448707658</v>
      </c>
      <c r="H48" s="5">
        <v>0.15570098481250405</v>
      </c>
      <c r="I48" s="5">
        <v>0.26294183568593799</v>
      </c>
      <c r="J48" s="5">
        <v>0.36817186703781263</v>
      </c>
      <c r="K48" s="5">
        <v>0.51896789828222434</v>
      </c>
      <c r="M48" s="5"/>
      <c r="N48" s="5"/>
      <c r="O48" s="5"/>
      <c r="P48" s="5"/>
      <c r="Q48" s="5"/>
    </row>
    <row r="49" spans="1:17" x14ac:dyDescent="0.35">
      <c r="A49" s="2">
        <v>57</v>
      </c>
      <c r="B49" s="5">
        <v>0</v>
      </c>
      <c r="C49" s="5">
        <v>0.14429036939453507</v>
      </c>
      <c r="D49" s="5">
        <v>0.14653466591740005</v>
      </c>
      <c r="E49" s="5">
        <v>0.14811239112514299</v>
      </c>
      <c r="F49" s="5">
        <v>0.15411829902032342</v>
      </c>
      <c r="G49" s="5">
        <v>0.16096332699801749</v>
      </c>
      <c r="H49" s="5">
        <v>0.16221825673725299</v>
      </c>
      <c r="I49" s="5">
        <v>0.25901404462493194</v>
      </c>
      <c r="J49" s="5">
        <v>0.35433928879828924</v>
      </c>
      <c r="K49" s="5">
        <v>0.4948946599499951</v>
      </c>
      <c r="M49" s="5"/>
      <c r="N49" s="5"/>
      <c r="O49" s="5"/>
      <c r="P49" s="5"/>
      <c r="Q49" s="5"/>
    </row>
    <row r="50" spans="1:17" x14ac:dyDescent="0.35">
      <c r="A50" s="2">
        <v>58</v>
      </c>
      <c r="B50" s="5">
        <v>0</v>
      </c>
      <c r="C50" s="5">
        <v>0.15563691350332087</v>
      </c>
      <c r="D50" s="5">
        <v>0.15788540533979645</v>
      </c>
      <c r="E50" s="5">
        <v>0.15927092182195737</v>
      </c>
      <c r="F50" s="5">
        <v>0.16448889968646749</v>
      </c>
      <c r="G50" s="5">
        <v>0.17046832345210661</v>
      </c>
      <c r="H50" s="5">
        <v>0.17118176067280433</v>
      </c>
      <c r="I50" s="5">
        <v>0.25817996211018185</v>
      </c>
      <c r="J50" s="5">
        <v>0.34394476576425204</v>
      </c>
      <c r="K50" s="5">
        <v>0.47383286314180334</v>
      </c>
      <c r="M50" s="5"/>
      <c r="N50" s="5"/>
      <c r="O50" s="5"/>
      <c r="P50" s="5"/>
      <c r="Q50" s="5"/>
    </row>
    <row r="51" spans="1:17" x14ac:dyDescent="0.35">
      <c r="A51" s="2">
        <v>59</v>
      </c>
      <c r="B51" s="5">
        <v>0</v>
      </c>
      <c r="C51" s="5">
        <v>0.16952841553558834</v>
      </c>
      <c r="D51" s="5">
        <v>0.17173024610302839</v>
      </c>
      <c r="E51" s="5">
        <v>0.17291532276211566</v>
      </c>
      <c r="F51" s="5">
        <v>0.1775200741814095</v>
      </c>
      <c r="G51" s="5">
        <v>0.18299876005410526</v>
      </c>
      <c r="H51" s="5">
        <v>0.18295010008112306</v>
      </c>
      <c r="I51" s="5">
        <v>0.26075036862394813</v>
      </c>
      <c r="J51" s="5">
        <v>0.33734360933445673</v>
      </c>
      <c r="K51" s="5">
        <v>0.45634697798521501</v>
      </c>
      <c r="M51" s="5"/>
      <c r="N51" s="5"/>
      <c r="O51" s="5"/>
      <c r="P51" s="5"/>
      <c r="Q51" s="5"/>
    </row>
    <row r="52" spans="1:17" x14ac:dyDescent="0.35">
      <c r="A52" s="2">
        <v>60</v>
      </c>
      <c r="B52" s="5">
        <v>0</v>
      </c>
      <c r="C52" s="5">
        <v>0.18634397931741792</v>
      </c>
      <c r="D52" s="5">
        <v>0.18845183536328958</v>
      </c>
      <c r="E52" s="5">
        <v>0.1894573012432402</v>
      </c>
      <c r="F52" s="5">
        <v>0.19365616165534155</v>
      </c>
      <c r="G52" s="5">
        <v>0.19901924352125425</v>
      </c>
      <c r="H52" s="5">
        <v>0.19787451074367993</v>
      </c>
      <c r="I52" s="5">
        <v>0.26706290258192666</v>
      </c>
      <c r="J52" s="5">
        <v>0.3349098452440229</v>
      </c>
      <c r="K52" s="5">
        <v>0.44273584600649296</v>
      </c>
      <c r="M52" s="5"/>
      <c r="N52" s="5"/>
      <c r="O52" s="5"/>
      <c r="P52" s="5"/>
      <c r="Q52" s="5"/>
    </row>
    <row r="53" spans="1:17" x14ac:dyDescent="0.35">
      <c r="A53" s="2">
        <v>61</v>
      </c>
      <c r="B53" s="5">
        <v>0</v>
      </c>
      <c r="C53" s="5">
        <v>0.20641009419499068</v>
      </c>
      <c r="D53" s="5">
        <v>0.20845588008613733</v>
      </c>
      <c r="E53" s="5">
        <v>0.20933621397932073</v>
      </c>
      <c r="F53" s="5">
        <v>0.21325639778090591</v>
      </c>
      <c r="G53" s="5">
        <v>0.21902956818302313</v>
      </c>
      <c r="H53" s="5">
        <v>0.21638637059484864</v>
      </c>
      <c r="I53" s="5">
        <v>0.27751766845227083</v>
      </c>
      <c r="J53" s="5">
        <v>0.33708499897590583</v>
      </c>
      <c r="K53" s="5">
        <v>0.43355720580149509</v>
      </c>
      <c r="M53" s="5"/>
      <c r="N53" s="5"/>
      <c r="O53" s="5"/>
      <c r="P53" s="5"/>
      <c r="Q53" s="5"/>
    </row>
    <row r="54" spans="1:17" x14ac:dyDescent="0.35">
      <c r="A54" s="2">
        <v>62</v>
      </c>
      <c r="B54" s="5">
        <v>0</v>
      </c>
      <c r="C54" s="5">
        <v>0.23015467198782011</v>
      </c>
      <c r="D54" s="5">
        <v>0.23221043676467962</v>
      </c>
      <c r="E54" s="5">
        <v>0.23301594301995474</v>
      </c>
      <c r="F54" s="5">
        <v>0.23669601401838669</v>
      </c>
      <c r="G54" s="5">
        <v>0.24351638344172657</v>
      </c>
      <c r="H54" s="5">
        <v>0.23892158396313837</v>
      </c>
      <c r="I54" s="5">
        <v>0.29254635397638995</v>
      </c>
      <c r="J54" s="5">
        <v>0.34427686019888859</v>
      </c>
      <c r="K54" s="5">
        <v>0.42931627863043675</v>
      </c>
      <c r="M54" s="5"/>
      <c r="N54" s="5"/>
      <c r="O54" s="5"/>
      <c r="P54" s="5"/>
      <c r="Q54" s="5"/>
    </row>
    <row r="55" spans="1:17" x14ac:dyDescent="0.35">
      <c r="A55" s="2">
        <v>63</v>
      </c>
      <c r="B55" s="5">
        <v>0</v>
      </c>
      <c r="C55" s="5">
        <v>0.25786247434361176</v>
      </c>
      <c r="D55" s="5">
        <v>0.26001904181175223</v>
      </c>
      <c r="E55" s="5">
        <v>0.26073696135118757</v>
      </c>
      <c r="F55" s="5">
        <v>0.26423054318582162</v>
      </c>
      <c r="G55" s="5">
        <v>0.27276941254975046</v>
      </c>
      <c r="H55" s="5">
        <v>0.26568626949883167</v>
      </c>
      <c r="I55" s="5">
        <v>0.31224322582134362</v>
      </c>
      <c r="J55" s="5">
        <v>0.35664629246175755</v>
      </c>
      <c r="K55" s="5">
        <v>0.43043447771652504</v>
      </c>
      <c r="M55" s="5"/>
      <c r="N55" s="5"/>
      <c r="O55" s="5"/>
      <c r="P55" s="5"/>
      <c r="Q55" s="5"/>
    </row>
    <row r="56" spans="1:17" x14ac:dyDescent="0.35">
      <c r="A56" s="2">
        <v>64</v>
      </c>
      <c r="B56" s="5">
        <v>0</v>
      </c>
      <c r="C56" s="5">
        <v>0.2897684801824536</v>
      </c>
      <c r="D56" s="5">
        <v>0.29207082383125399</v>
      </c>
      <c r="E56" s="5">
        <v>0.29271065187864337</v>
      </c>
      <c r="F56" s="5">
        <v>0.29606570825245043</v>
      </c>
      <c r="G56" s="5">
        <v>0.30622302074979363</v>
      </c>
      <c r="H56" s="5">
        <v>0.29687775098833225</v>
      </c>
      <c r="I56" s="5">
        <v>0.33675102702219839</v>
      </c>
      <c r="J56" s="5">
        <v>0.37438694477331746</v>
      </c>
      <c r="K56" s="5">
        <v>0.43717832685740271</v>
      </c>
      <c r="M56" s="5"/>
      <c r="N56" s="5"/>
      <c r="O56" s="5"/>
      <c r="P56" s="5"/>
      <c r="Q56" s="5"/>
    </row>
    <row r="57" spans="1:17" x14ac:dyDescent="0.35">
      <c r="A57" s="2">
        <v>65</v>
      </c>
      <c r="B57" s="5">
        <v>0</v>
      </c>
      <c r="C57" s="5">
        <v>0.32592314914203269</v>
      </c>
      <c r="D57" s="5">
        <v>0.32834407658129033</v>
      </c>
      <c r="E57" s="5">
        <v>0.32878902885338551</v>
      </c>
      <c r="F57" s="5">
        <v>0.33212438105592046</v>
      </c>
      <c r="G57" s="5">
        <v>0.34373511468221751</v>
      </c>
      <c r="H57" s="5">
        <v>0.33244399593835655</v>
      </c>
      <c r="I57" s="5">
        <v>0.36599174485434988</v>
      </c>
      <c r="J57" s="5">
        <v>0.39751013703191485</v>
      </c>
      <c r="K57" s="5">
        <v>0.44974312680229261</v>
      </c>
      <c r="M57" s="5"/>
      <c r="N57" s="5"/>
      <c r="O57" s="5"/>
      <c r="P57" s="5"/>
      <c r="Q57" s="5"/>
    </row>
    <row r="58" spans="1:17" x14ac:dyDescent="0.35">
      <c r="A58" s="2">
        <v>66</v>
      </c>
      <c r="B58" s="5">
        <v>0</v>
      </c>
      <c r="C58" s="5">
        <v>0.36638444752434118</v>
      </c>
      <c r="D58" s="5">
        <v>0.36873782229128588</v>
      </c>
      <c r="E58" s="5">
        <v>0.36881962747862884</v>
      </c>
      <c r="F58" s="5">
        <v>0.37227978704822406</v>
      </c>
      <c r="G58" s="5">
        <v>0.38498435786397095</v>
      </c>
      <c r="H58" s="5">
        <v>0.37217549091143354</v>
      </c>
      <c r="I58" s="5">
        <v>0.39979256491322096</v>
      </c>
      <c r="J58" s="5">
        <v>0.42582289643882665</v>
      </c>
      <c r="K58" s="5">
        <v>0.46827069198396343</v>
      </c>
      <c r="M58" s="5"/>
      <c r="N58" s="5"/>
      <c r="O58" s="5"/>
      <c r="P58" s="5"/>
      <c r="Q58" s="5"/>
    </row>
    <row r="59" spans="1:17" x14ac:dyDescent="0.35">
      <c r="A59" s="2">
        <v>67</v>
      </c>
      <c r="B59" s="5">
        <v>0</v>
      </c>
      <c r="C59" s="5">
        <v>0.41080253932854305</v>
      </c>
      <c r="D59" s="5">
        <v>0.41277277265139845</v>
      </c>
      <c r="E59" s="5">
        <v>0.412392802242802</v>
      </c>
      <c r="F59" s="5">
        <v>0.41617787439995035</v>
      </c>
      <c r="G59" s="5">
        <v>0.42931948165462136</v>
      </c>
      <c r="H59" s="5">
        <v>0.41554077944223766</v>
      </c>
      <c r="I59" s="5">
        <v>0.4376548538233605</v>
      </c>
      <c r="J59" s="5">
        <v>0.45899904733768482</v>
      </c>
      <c r="K59" s="5">
        <v>0.49243902316036381</v>
      </c>
      <c r="M59" s="5"/>
      <c r="N59" s="5"/>
      <c r="O59" s="5"/>
      <c r="P59" s="5"/>
      <c r="Q59" s="5"/>
    </row>
    <row r="60" spans="1:17" x14ac:dyDescent="0.35">
      <c r="A60" s="2">
        <v>68</v>
      </c>
      <c r="B60" s="5">
        <v>0</v>
      </c>
      <c r="C60" s="5">
        <v>0.4585536194866221</v>
      </c>
      <c r="D60" s="5">
        <v>0.45993668395238341</v>
      </c>
      <c r="E60" s="5">
        <v>0.45901986081375001</v>
      </c>
      <c r="F60" s="5">
        <v>0.46329943022201958</v>
      </c>
      <c r="G60" s="5">
        <v>0.4761100113165051</v>
      </c>
      <c r="H60" s="5">
        <v>0.46207815013153686</v>
      </c>
      <c r="I60" s="5">
        <v>0.47922726788696945</v>
      </c>
      <c r="J60" s="5">
        <v>0.49664078820563168</v>
      </c>
      <c r="K60" s="5">
        <v>0.52193008953565789</v>
      </c>
      <c r="M60" s="5"/>
      <c r="N60" s="5"/>
      <c r="O60" s="5"/>
      <c r="P60" s="5"/>
      <c r="Q60" s="5"/>
    </row>
    <row r="61" spans="1:17" x14ac:dyDescent="0.35">
      <c r="A61" s="2">
        <v>69</v>
      </c>
      <c r="B61" s="5">
        <v>0</v>
      </c>
      <c r="C61" s="5">
        <v>0.50874640230338519</v>
      </c>
      <c r="D61" s="5">
        <v>0.50936095748458943</v>
      </c>
      <c r="E61" s="5">
        <v>0.50783896447725607</v>
      </c>
      <c r="F61" s="5">
        <v>0.51278950792291733</v>
      </c>
      <c r="G61" s="5">
        <v>0.52487932988686092</v>
      </c>
      <c r="H61" s="5">
        <v>0.51086346809571959</v>
      </c>
      <c r="I61" s="5">
        <v>0.52370778458422784</v>
      </c>
      <c r="J61" s="5">
        <v>0.53796944117266343</v>
      </c>
      <c r="K61" s="5">
        <v>0.55601194969982992</v>
      </c>
      <c r="M61" s="5"/>
      <c r="N61" s="5"/>
      <c r="O61" s="5"/>
      <c r="P61" s="5"/>
      <c r="Q61" s="5"/>
    </row>
    <row r="62" spans="1:17" x14ac:dyDescent="0.35">
      <c r="A62" s="2">
        <v>70</v>
      </c>
      <c r="B62" s="5">
        <v>0</v>
      </c>
      <c r="C62" s="5">
        <v>0.56024155718713264</v>
      </c>
      <c r="D62" s="5">
        <v>0.5600037805425464</v>
      </c>
      <c r="E62" s="5">
        <v>0.55795026765528766</v>
      </c>
      <c r="F62" s="5">
        <v>0.56355650944270108</v>
      </c>
      <c r="G62" s="5">
        <v>0.57520323056466194</v>
      </c>
      <c r="H62" s="5">
        <v>0.56083754740755132</v>
      </c>
      <c r="I62" s="5">
        <v>0.57012822528762563</v>
      </c>
      <c r="J62" s="5">
        <v>0.58192269292531029</v>
      </c>
      <c r="K62" s="5">
        <v>0.59369889656744113</v>
      </c>
      <c r="M62" s="5"/>
      <c r="N62" s="5"/>
      <c r="O62" s="5"/>
      <c r="P62" s="5"/>
      <c r="Q62" s="5"/>
    </row>
    <row r="63" spans="1:17" x14ac:dyDescent="0.35">
      <c r="A63" s="2">
        <v>71</v>
      </c>
      <c r="B63" s="5">
        <v>0</v>
      </c>
      <c r="C63" s="5">
        <v>0.61159556389315228</v>
      </c>
      <c r="D63" s="5">
        <v>0.61060873307879282</v>
      </c>
      <c r="E63" s="5">
        <v>0.60812200868110122</v>
      </c>
      <c r="F63" s="5">
        <v>0.6142876718956527</v>
      </c>
      <c r="G63" s="5">
        <v>0.62584839713560736</v>
      </c>
      <c r="H63" s="5">
        <v>0.61081655680407354</v>
      </c>
      <c r="I63" s="5">
        <v>0.61724250575313466</v>
      </c>
      <c r="J63" s="5">
        <v>0.62712941862120519</v>
      </c>
      <c r="K63" s="5">
        <v>0.63357233299658</v>
      </c>
      <c r="M63" s="5"/>
      <c r="N63" s="5"/>
      <c r="O63" s="5"/>
      <c r="P63" s="5"/>
      <c r="Q63" s="5"/>
    </row>
    <row r="64" spans="1:17" x14ac:dyDescent="0.35">
      <c r="A64" s="2">
        <v>72</v>
      </c>
      <c r="B64" s="5">
        <v>0</v>
      </c>
      <c r="C64" s="5">
        <v>0.66160473987656654</v>
      </c>
      <c r="D64" s="5">
        <v>0.66013997455896523</v>
      </c>
      <c r="E64" s="5">
        <v>0.65722593466975998</v>
      </c>
      <c r="F64" s="5">
        <v>0.6638391514542521</v>
      </c>
      <c r="G64" s="5">
        <v>0.67585616735690501</v>
      </c>
      <c r="H64" s="5">
        <v>0.65976933429682627</v>
      </c>
      <c r="I64" s="5">
        <v>0.6639505439694674</v>
      </c>
      <c r="J64" s="5">
        <v>0.67233700042969236</v>
      </c>
      <c r="K64" s="5">
        <v>0.6744416953409238</v>
      </c>
      <c r="M64" s="5"/>
      <c r="N64" s="5"/>
      <c r="O64" s="5"/>
      <c r="P64" s="5"/>
      <c r="Q64" s="5"/>
    </row>
    <row r="65" spans="1:17" x14ac:dyDescent="0.35">
      <c r="A65" s="2">
        <v>73</v>
      </c>
      <c r="B65" s="5">
        <v>0</v>
      </c>
      <c r="C65" s="5">
        <v>0.70917218650182257</v>
      </c>
      <c r="D65" s="5">
        <v>0.70742054935484899</v>
      </c>
      <c r="E65" s="5">
        <v>0.70408396140762197</v>
      </c>
      <c r="F65" s="5">
        <v>0.71091100007243957</v>
      </c>
      <c r="G65" s="5">
        <v>0.72398814825157665</v>
      </c>
      <c r="H65" s="5">
        <v>0.70641981304158086</v>
      </c>
      <c r="I65" s="5">
        <v>0.70899081885686344</v>
      </c>
      <c r="J65" s="5">
        <v>0.71616176658535491</v>
      </c>
      <c r="K65" s="5">
        <v>0.71482023891244451</v>
      </c>
      <c r="M65" s="5"/>
      <c r="N65" s="5"/>
      <c r="O65" s="5"/>
      <c r="P65" s="5"/>
      <c r="Q65" s="5"/>
    </row>
    <row r="66" spans="1:17" x14ac:dyDescent="0.35">
      <c r="A66" s="2">
        <v>74</v>
      </c>
      <c r="B66" s="5">
        <v>0</v>
      </c>
      <c r="C66" s="5">
        <v>0.75324510098485797</v>
      </c>
      <c r="D66" s="5">
        <v>0.75140382152025054</v>
      </c>
      <c r="E66" s="5">
        <v>0.74773130083450257</v>
      </c>
      <c r="F66" s="5">
        <v>0.75457688180472171</v>
      </c>
      <c r="G66" s="5">
        <v>0.76918667099236882</v>
      </c>
      <c r="H66" s="5">
        <v>0.74984308242675002</v>
      </c>
      <c r="I66" s="5">
        <v>0.7513412972867981</v>
      </c>
      <c r="J66" s="5">
        <v>0.75746125775631312</v>
      </c>
      <c r="K66" s="5">
        <v>0.75351347411625236</v>
      </c>
      <c r="M66" s="5"/>
      <c r="N66" s="5"/>
      <c r="O66" s="5"/>
      <c r="P66" s="5"/>
      <c r="Q66" s="5"/>
    </row>
    <row r="67" spans="1:17" x14ac:dyDescent="0.35">
      <c r="A67" s="2">
        <v>75</v>
      </c>
      <c r="B67" s="5">
        <v>0</v>
      </c>
      <c r="C67" s="5">
        <v>0.7932735515403786</v>
      </c>
      <c r="D67" s="5">
        <v>0.79150361583981232</v>
      </c>
      <c r="E67" s="5">
        <v>0.7875094234190414</v>
      </c>
      <c r="F67" s="5">
        <v>0.79427183916750221</v>
      </c>
      <c r="G67" s="5">
        <v>0.80932332124082595</v>
      </c>
      <c r="H67" s="5">
        <v>0.78950446642875938</v>
      </c>
      <c r="I67" s="5">
        <v>0.79021360292720777</v>
      </c>
      <c r="J67" s="5">
        <v>0.79541047633201289</v>
      </c>
      <c r="K67" s="5">
        <v>0.78965676582950384</v>
      </c>
      <c r="M67" s="5"/>
      <c r="N67" s="5"/>
      <c r="O67" s="5"/>
      <c r="P67" s="5"/>
      <c r="Q67" s="5"/>
    </row>
    <row r="68" spans="1:17" x14ac:dyDescent="0.35">
      <c r="A68" s="2">
        <v>76</v>
      </c>
      <c r="B68" s="5">
        <v>0</v>
      </c>
      <c r="C68" s="5">
        <v>0.82894993110261928</v>
      </c>
      <c r="D68" s="5">
        <v>0.82736374960115144</v>
      </c>
      <c r="E68" s="5">
        <v>0.82304316360425755</v>
      </c>
      <c r="F68" s="5">
        <v>0.8296632004980603</v>
      </c>
      <c r="G68" s="5">
        <v>0.8438991999799319</v>
      </c>
      <c r="H68" s="5">
        <v>0.82495635565732528</v>
      </c>
      <c r="I68" s="5">
        <v>0.82521460394168566</v>
      </c>
      <c r="J68" s="5">
        <v>0.82965804829035228</v>
      </c>
      <c r="K68" s="5">
        <v>0.82263876959961713</v>
      </c>
      <c r="M68" s="5"/>
      <c r="N68" s="5"/>
      <c r="O68" s="5"/>
      <c r="P68" s="5"/>
      <c r="Q68" s="5"/>
    </row>
    <row r="69" spans="1:17" x14ac:dyDescent="0.35">
      <c r="A69" s="2">
        <v>77</v>
      </c>
      <c r="B69" s="5">
        <v>0</v>
      </c>
      <c r="C69" s="5">
        <v>0.8601147224830421</v>
      </c>
      <c r="D69" s="5">
        <v>0.85867895281410156</v>
      </c>
      <c r="E69" s="5">
        <v>0.8541728472334873</v>
      </c>
      <c r="F69" s="5">
        <v>0.86053361556764207</v>
      </c>
      <c r="G69" s="5">
        <v>0.87384908545696371</v>
      </c>
      <c r="H69" s="5">
        <v>0.85597408635012162</v>
      </c>
      <c r="I69" s="5">
        <v>0.85607061317743849</v>
      </c>
      <c r="J69" s="5">
        <v>0.85983688252365886</v>
      </c>
      <c r="K69" s="5">
        <v>0.85199602576964828</v>
      </c>
      <c r="M69" s="5"/>
      <c r="N69" s="5"/>
      <c r="O69" s="5"/>
      <c r="P69" s="5"/>
      <c r="Q69" s="5"/>
    </row>
    <row r="70" spans="1:17" x14ac:dyDescent="0.35">
      <c r="A70" s="2">
        <v>78</v>
      </c>
      <c r="B70" s="5">
        <v>0</v>
      </c>
      <c r="C70" s="5">
        <v>0.88688485582035725</v>
      </c>
      <c r="D70" s="5">
        <v>0.88555755082726362</v>
      </c>
      <c r="E70" s="5">
        <v>0.88099929151564482</v>
      </c>
      <c r="F70" s="5">
        <v>0.88720549398601756</v>
      </c>
      <c r="G70" s="5">
        <v>0.89924151371933592</v>
      </c>
      <c r="H70" s="5">
        <v>0.88273187463409086</v>
      </c>
      <c r="I70" s="5">
        <v>0.88275944888996571</v>
      </c>
      <c r="J70" s="5">
        <v>0.88598178168504882</v>
      </c>
      <c r="K70" s="5">
        <v>0.87780916240186868</v>
      </c>
      <c r="M70" s="5"/>
      <c r="N70" s="5"/>
      <c r="O70" s="5"/>
      <c r="P70" s="5"/>
      <c r="Q70" s="5"/>
    </row>
    <row r="71" spans="1:17" x14ac:dyDescent="0.35">
      <c r="A71" s="2">
        <v>79</v>
      </c>
      <c r="B71" s="5">
        <v>0</v>
      </c>
      <c r="C71" s="5">
        <v>0.90962463047724185</v>
      </c>
      <c r="D71" s="5">
        <v>0.90845131129865409</v>
      </c>
      <c r="E71" s="5">
        <v>0.90383521167432157</v>
      </c>
      <c r="F71" s="5">
        <v>0.90981575702483153</v>
      </c>
      <c r="G71" s="5">
        <v>0.92024705315080868</v>
      </c>
      <c r="H71" s="5">
        <v>0.90552400181910253</v>
      </c>
      <c r="I71" s="5">
        <v>0.90542317667433869</v>
      </c>
      <c r="J71" s="5">
        <v>0.90825568506704046</v>
      </c>
      <c r="K71" s="5">
        <v>0.90017811701814832</v>
      </c>
      <c r="M71" s="5"/>
      <c r="N71" s="5"/>
      <c r="O71" s="5"/>
      <c r="P71" s="5"/>
      <c r="Q71" s="5"/>
    </row>
    <row r="72" spans="1:17" x14ac:dyDescent="0.35">
      <c r="A72" s="2">
        <v>80</v>
      </c>
      <c r="B72" s="5">
        <v>0</v>
      </c>
      <c r="C72" s="5">
        <v>0.92865079502068437</v>
      </c>
      <c r="D72" s="5">
        <v>0.92762215427547412</v>
      </c>
      <c r="E72" s="5">
        <v>0.92300488353544141</v>
      </c>
      <c r="F72" s="5">
        <v>0.92861686528059861</v>
      </c>
      <c r="G72" s="5">
        <v>0.93790600784480049</v>
      </c>
      <c r="H72" s="5">
        <v>0.92458023544523182</v>
      </c>
      <c r="I72" s="5">
        <v>0.92457000287138713</v>
      </c>
      <c r="J72" s="5">
        <v>0.92697176420691063</v>
      </c>
      <c r="K72" s="5">
        <v>0.91923225356684146</v>
      </c>
      <c r="M72" s="5"/>
      <c r="N72" s="5"/>
      <c r="O72" s="5"/>
      <c r="P72" s="5"/>
      <c r="Q72" s="5"/>
    </row>
    <row r="73" spans="1:17" x14ac:dyDescent="0.35">
      <c r="A73" s="2"/>
      <c r="B73" s="2"/>
      <c r="C73" s="5">
        <v>0.94435441313930701</v>
      </c>
      <c r="D73" s="5">
        <v>0.9434194405414883</v>
      </c>
      <c r="E73" s="5">
        <v>0.93892822661830333</v>
      </c>
      <c r="F73" s="5">
        <v>0.94405238169647709</v>
      </c>
      <c r="G73" s="5">
        <v>0.95420742242209478</v>
      </c>
      <c r="H73" s="5">
        <v>0.94036081551890571</v>
      </c>
      <c r="I73" s="5">
        <v>0.94040744652871944</v>
      </c>
      <c r="J73" s="5">
        <v>0.94244693332238916</v>
      </c>
      <c r="K73" s="5">
        <v>0.93533235516508118</v>
      </c>
      <c r="L73" s="5"/>
      <c r="M73" s="3"/>
      <c r="N73" s="3"/>
      <c r="O73" s="5"/>
      <c r="P73" s="3"/>
      <c r="Q73" s="3"/>
    </row>
    <row r="74" spans="1:17" x14ac:dyDescent="0.35">
      <c r="C74" s="5">
        <v>0.95719043988883878</v>
      </c>
      <c r="D74" s="5">
        <v>0.95636809587745175</v>
      </c>
      <c r="E74" s="5">
        <v>0.95200116800980694</v>
      </c>
      <c r="F74" s="5">
        <v>0.95657747030869644</v>
      </c>
      <c r="G74" s="5">
        <v>0.96664923866223407</v>
      </c>
      <c r="H74" s="5">
        <v>0.95335294465366216</v>
      </c>
      <c r="I74" s="5">
        <v>0.95343807201954411</v>
      </c>
      <c r="J74" s="5">
        <v>0.95515692586332912</v>
      </c>
      <c r="K74" s="5">
        <v>0.94892376552249058</v>
      </c>
    </row>
    <row r="75" spans="1:17" x14ac:dyDescent="0.35">
      <c r="C75" s="5">
        <v>0.96751319133774216</v>
      </c>
      <c r="D75" s="5">
        <v>0.96675061104154214</v>
      </c>
      <c r="E75" s="5">
        <v>0.96265858976089758</v>
      </c>
      <c r="F75" s="5">
        <v>0.96645637716300714</v>
      </c>
      <c r="G75" s="5">
        <v>0.97719055247996611</v>
      </c>
      <c r="H75" s="5">
        <v>0.96393959308070332</v>
      </c>
      <c r="I75" s="5">
        <v>0.96400630646455265</v>
      </c>
      <c r="J75" s="5">
        <v>0.96545198088016648</v>
      </c>
      <c r="K75" s="5">
        <v>0.96019619957345281</v>
      </c>
    </row>
    <row r="76" spans="1:17" x14ac:dyDescent="0.35">
      <c r="C76" s="5">
        <v>0.97566346678208771</v>
      </c>
      <c r="D76" s="5">
        <v>0.97486139853054243</v>
      </c>
      <c r="E76" s="5">
        <v>0.97116197487170852</v>
      </c>
      <c r="F76" s="5">
        <v>0.9741567182091273</v>
      </c>
      <c r="G76" s="5">
        <v>0.98590775895553162</v>
      </c>
      <c r="H76" s="5">
        <v>0.97235163182479178</v>
      </c>
      <c r="I76" s="5">
        <v>0.97256285400000164</v>
      </c>
      <c r="J76" s="5">
        <v>0.97367250187134369</v>
      </c>
      <c r="K76" s="5">
        <v>0.96943981917056765</v>
      </c>
    </row>
    <row r="77" spans="1:17" x14ac:dyDescent="0.35">
      <c r="C77" s="5">
        <v>0.98191526643352445</v>
      </c>
      <c r="D77" s="5">
        <v>0.98110478930352263</v>
      </c>
      <c r="E77" s="5">
        <v>0.97788028498438673</v>
      </c>
      <c r="F77" s="5">
        <v>0.98017247351326486</v>
      </c>
      <c r="G77" s="5">
        <v>0.99477097586997443</v>
      </c>
      <c r="H77" s="5">
        <v>0.97904806932856592</v>
      </c>
      <c r="I77" s="5">
        <v>0.97916762346125807</v>
      </c>
      <c r="J77" s="5">
        <v>0.98012808687119612</v>
      </c>
      <c r="K77" s="5">
        <v>0.97702711567708778</v>
      </c>
    </row>
    <row r="78" spans="1:17" x14ac:dyDescent="0.35">
      <c r="C78" s="5">
        <v>0.98678316585771808</v>
      </c>
      <c r="D78" s="5">
        <v>0.98597790436920207</v>
      </c>
      <c r="E78" s="5">
        <v>0.98328807381324368</v>
      </c>
      <c r="F78" s="5">
        <v>0.98498782838866283</v>
      </c>
      <c r="G78" s="5">
        <v>1.0004375934055658</v>
      </c>
      <c r="H78" s="5">
        <v>0.98445632884402656</v>
      </c>
      <c r="I78" s="5">
        <v>0.98448165273966726</v>
      </c>
      <c r="J78" s="5">
        <v>0.98526025154037999</v>
      </c>
      <c r="K78" s="5">
        <v>0.98324366277480157</v>
      </c>
    </row>
    <row r="79" spans="1:17" x14ac:dyDescent="0.35">
      <c r="C79" s="5">
        <v>0.99054266671731883</v>
      </c>
      <c r="D79" s="5">
        <v>0.98984202870337989</v>
      </c>
      <c r="E79" s="5">
        <v>0.98773437931671815</v>
      </c>
      <c r="F79" s="5">
        <v>0.98890567728307521</v>
      </c>
      <c r="G79" s="5">
        <v>1.0054335632609714</v>
      </c>
      <c r="H79" s="5">
        <v>0.98872725000990269</v>
      </c>
      <c r="I79" s="5">
        <v>0.98866481376571502</v>
      </c>
      <c r="J79" s="5">
        <v>0.98935219536667252</v>
      </c>
      <c r="K79" s="5">
        <v>0.98829235868215848</v>
      </c>
    </row>
    <row r="80" spans="1:17" x14ac:dyDescent="0.35">
      <c r="C80" s="5">
        <v>0.99381866758476445</v>
      </c>
      <c r="D80" s="5">
        <v>0.99330117622515912</v>
      </c>
      <c r="E80" s="5">
        <v>0.99181176294959894</v>
      </c>
      <c r="F80" s="5">
        <v>0.99257026661322445</v>
      </c>
      <c r="G80" s="5">
        <v>1.0065222901175819</v>
      </c>
      <c r="H80" s="5">
        <v>0.99255658137717417</v>
      </c>
      <c r="I80" s="5">
        <v>0.9925012509620692</v>
      </c>
      <c r="J80" s="5">
        <v>0.9929943344732064</v>
      </c>
      <c r="K80" s="5">
        <v>0.99256121020606536</v>
      </c>
    </row>
    <row r="81" spans="3:11" x14ac:dyDescent="0.35">
      <c r="C81" s="5">
        <v>0.99677614117441471</v>
      </c>
      <c r="D81" s="5">
        <v>0.99652977913441088</v>
      </c>
      <c r="E81" s="5">
        <v>0.99565684449320369</v>
      </c>
      <c r="F81" s="5">
        <v>0.99608164157564638</v>
      </c>
      <c r="G81" s="5">
        <v>1.0069994372740518</v>
      </c>
      <c r="H81" s="5">
        <v>0.99615095988427371</v>
      </c>
      <c r="I81" s="5">
        <v>0.99599042072841237</v>
      </c>
      <c r="J81" s="5">
        <v>0.99635907269778268</v>
      </c>
      <c r="K81" s="5">
        <v>0.99654971288514926</v>
      </c>
    </row>
    <row r="82" spans="3:11" x14ac:dyDescent="0.35">
      <c r="C82" s="5">
        <v>1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54C5-7E38-4A11-A0E9-78FDB7908F55}">
  <dimension ref="A1:AA71"/>
  <sheetViews>
    <sheetView workbookViewId="0">
      <selection activeCell="I1" sqref="I1:T1048576"/>
    </sheetView>
  </sheetViews>
  <sheetFormatPr defaultRowHeight="14.5" x14ac:dyDescent="0.35"/>
  <sheetData>
    <row r="1" spans="1:27" x14ac:dyDescent="0.35">
      <c r="A1" s="3">
        <v>1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1</v>
      </c>
      <c r="H1" s="3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>
        <v>1</v>
      </c>
      <c r="V1" s="3">
        <v>1</v>
      </c>
      <c r="W1" s="3">
        <v>1</v>
      </c>
      <c r="X1" s="3">
        <v>1</v>
      </c>
      <c r="Y1" s="3">
        <v>1</v>
      </c>
      <c r="Z1" s="3">
        <v>1</v>
      </c>
      <c r="AA1" s="3">
        <v>1</v>
      </c>
    </row>
    <row r="2" spans="1:27" x14ac:dyDescent="0.35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</row>
    <row r="3" spans="1:27" x14ac:dyDescent="0.35">
      <c r="A3" s="3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</row>
    <row r="4" spans="1:27" x14ac:dyDescent="0.35">
      <c r="A4" s="3">
        <v>1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</row>
    <row r="5" spans="1:27" x14ac:dyDescent="0.35">
      <c r="A5" s="3">
        <v>1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</row>
    <row r="6" spans="1:27" x14ac:dyDescent="0.35">
      <c r="A6" s="3">
        <v>1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</row>
    <row r="7" spans="1:27" x14ac:dyDescent="0.35">
      <c r="A7" s="3">
        <v>1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</row>
    <row r="8" spans="1:27" x14ac:dyDescent="0.35">
      <c r="A8" s="3">
        <v>1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</row>
    <row r="9" spans="1:27" x14ac:dyDescent="0.35">
      <c r="A9" s="3">
        <v>1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</row>
    <row r="10" spans="1:27" x14ac:dyDescent="0.35">
      <c r="A10" s="3">
        <v>1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</row>
    <row r="11" spans="1:27" x14ac:dyDescent="0.35">
      <c r="A11" s="3">
        <v>1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</row>
    <row r="12" spans="1:27" x14ac:dyDescent="0.35">
      <c r="A12" s="3">
        <v>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</row>
    <row r="13" spans="1:27" x14ac:dyDescent="0.35">
      <c r="A13" s="3">
        <v>1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</row>
    <row r="14" spans="1:27" x14ac:dyDescent="0.35">
      <c r="A14" s="3">
        <v>1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</row>
    <row r="15" spans="1:27" x14ac:dyDescent="0.35">
      <c r="A15" s="3">
        <v>1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</row>
    <row r="16" spans="1:27" x14ac:dyDescent="0.35">
      <c r="A16" s="3">
        <v>1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</row>
    <row r="17" spans="1:27" x14ac:dyDescent="0.35">
      <c r="A17" s="3">
        <v>1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</row>
    <row r="18" spans="1:27" x14ac:dyDescent="0.35">
      <c r="A18" s="3">
        <v>1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</row>
    <row r="19" spans="1:27" x14ac:dyDescent="0.35">
      <c r="A19" s="3">
        <v>1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</row>
    <row r="20" spans="1:27" x14ac:dyDescent="0.35">
      <c r="A20" s="3">
        <v>1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</row>
    <row r="21" spans="1:27" x14ac:dyDescent="0.35">
      <c r="A21" s="3">
        <v>1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</row>
    <row r="22" spans="1:27" x14ac:dyDescent="0.35">
      <c r="A22" s="3">
        <v>1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</row>
    <row r="23" spans="1:27" x14ac:dyDescent="0.35">
      <c r="A23" s="3">
        <v>1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</row>
    <row r="24" spans="1:27" x14ac:dyDescent="0.35">
      <c r="A24" s="3">
        <v>1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</row>
    <row r="25" spans="1:27" x14ac:dyDescent="0.35">
      <c r="A25" s="3">
        <v>1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1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</row>
    <row r="26" spans="1:27" x14ac:dyDescent="0.35">
      <c r="A26" s="3">
        <v>1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</row>
    <row r="27" spans="1:27" x14ac:dyDescent="0.35">
      <c r="A27" s="3">
        <v>1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</row>
    <row r="28" spans="1:27" x14ac:dyDescent="0.35">
      <c r="A28" s="3">
        <v>1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</row>
    <row r="29" spans="1:27" x14ac:dyDescent="0.35">
      <c r="A29" s="3">
        <v>1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</row>
    <row r="30" spans="1:27" x14ac:dyDescent="0.35">
      <c r="A30" s="3">
        <v>1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</row>
    <row r="31" spans="1:27" x14ac:dyDescent="0.35">
      <c r="A31" s="3">
        <v>1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</row>
    <row r="32" spans="1:27" x14ac:dyDescent="0.35">
      <c r="A32" s="3">
        <v>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</row>
    <row r="33" spans="1:27" x14ac:dyDescent="0.35">
      <c r="A33" s="3">
        <v>1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</row>
    <row r="34" spans="1:27" x14ac:dyDescent="0.35">
      <c r="A34" s="3">
        <v>1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</row>
    <row r="35" spans="1:27" x14ac:dyDescent="0.35">
      <c r="A35" s="3">
        <v>1</v>
      </c>
      <c r="B35" s="3">
        <v>1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</row>
    <row r="36" spans="1:27" x14ac:dyDescent="0.35">
      <c r="A36" s="3">
        <v>1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</row>
    <row r="37" spans="1:27" x14ac:dyDescent="0.35">
      <c r="A37" s="3">
        <v>1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</row>
    <row r="38" spans="1:27" x14ac:dyDescent="0.35">
      <c r="A38" s="3">
        <v>1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</row>
    <row r="39" spans="1:27" x14ac:dyDescent="0.35">
      <c r="A39" s="3">
        <v>1</v>
      </c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</row>
    <row r="40" spans="1:27" x14ac:dyDescent="0.35">
      <c r="A40" s="3">
        <v>1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</row>
    <row r="41" spans="1:27" x14ac:dyDescent="0.35">
      <c r="A41" s="3">
        <v>1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</row>
    <row r="42" spans="1:27" x14ac:dyDescent="0.35">
      <c r="A42" s="3">
        <v>1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</row>
    <row r="43" spans="1:27" x14ac:dyDescent="0.35">
      <c r="A43" s="3">
        <v>1</v>
      </c>
      <c r="B43" s="3">
        <v>1</v>
      </c>
      <c r="C43" s="3">
        <v>1</v>
      </c>
      <c r="D43" s="3">
        <v>1</v>
      </c>
      <c r="E43" s="3">
        <v>1</v>
      </c>
      <c r="F43" s="3">
        <v>1</v>
      </c>
      <c r="G43" s="3">
        <v>1</v>
      </c>
      <c r="H43" s="3">
        <v>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</row>
    <row r="44" spans="1:27" x14ac:dyDescent="0.35">
      <c r="A44" s="3">
        <v>1</v>
      </c>
      <c r="B44" s="3">
        <v>1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1</v>
      </c>
      <c r="AA44" s="3">
        <v>1</v>
      </c>
    </row>
    <row r="45" spans="1:27" x14ac:dyDescent="0.35">
      <c r="A45" s="3">
        <v>1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1</v>
      </c>
      <c r="AA45" s="3">
        <v>1</v>
      </c>
    </row>
    <row r="46" spans="1:27" x14ac:dyDescent="0.35">
      <c r="A46" s="3">
        <v>1</v>
      </c>
      <c r="B46" s="3">
        <v>1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3">
        <v>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1</v>
      </c>
      <c r="V46" s="3">
        <v>1</v>
      </c>
      <c r="W46" s="3">
        <v>1</v>
      </c>
      <c r="X46" s="3">
        <v>1</v>
      </c>
      <c r="Y46" s="3">
        <v>1</v>
      </c>
      <c r="Z46" s="3">
        <v>1</v>
      </c>
      <c r="AA46" s="3">
        <v>1</v>
      </c>
    </row>
    <row r="47" spans="1:27" x14ac:dyDescent="0.35">
      <c r="A47" s="3">
        <v>1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</row>
    <row r="48" spans="1:27" x14ac:dyDescent="0.35">
      <c r="A48" s="3">
        <v>1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>
        <v>1</v>
      </c>
      <c r="V48" s="3">
        <v>1</v>
      </c>
      <c r="W48" s="3">
        <v>1</v>
      </c>
      <c r="X48" s="3">
        <v>1</v>
      </c>
      <c r="Y48" s="3">
        <v>1</v>
      </c>
      <c r="Z48" s="3">
        <v>1</v>
      </c>
      <c r="AA48" s="3">
        <v>1</v>
      </c>
    </row>
    <row r="49" spans="1:27" x14ac:dyDescent="0.35">
      <c r="A49" s="3">
        <v>1</v>
      </c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1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>
        <v>1</v>
      </c>
      <c r="V49" s="3">
        <v>1</v>
      </c>
      <c r="W49" s="3">
        <v>1</v>
      </c>
      <c r="X49" s="3">
        <v>1</v>
      </c>
      <c r="Y49" s="3">
        <v>1</v>
      </c>
      <c r="Z49" s="3">
        <v>1</v>
      </c>
      <c r="AA49" s="3">
        <v>1</v>
      </c>
    </row>
    <row r="50" spans="1:27" x14ac:dyDescent="0.35">
      <c r="A50" s="3">
        <v>1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</row>
    <row r="51" spans="1:27" x14ac:dyDescent="0.35">
      <c r="A51" s="3">
        <v>1</v>
      </c>
      <c r="B51" s="3">
        <v>1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3">
        <v>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</row>
    <row r="52" spans="1:27" x14ac:dyDescent="0.35">
      <c r="A52" s="3">
        <v>1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</row>
    <row r="53" spans="1:27" x14ac:dyDescent="0.35">
      <c r="A53" s="3">
        <v>1</v>
      </c>
      <c r="B53" s="3">
        <v>1</v>
      </c>
      <c r="C53" s="3">
        <v>1</v>
      </c>
      <c r="D53" s="3">
        <v>1</v>
      </c>
      <c r="E53" s="3">
        <v>1</v>
      </c>
      <c r="F53" s="3">
        <v>1</v>
      </c>
      <c r="G53" s="3">
        <v>1</v>
      </c>
      <c r="H53" s="3">
        <v>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>
        <v>1</v>
      </c>
      <c r="V53" s="3">
        <v>1</v>
      </c>
      <c r="W53" s="3">
        <v>1</v>
      </c>
      <c r="X53" s="3">
        <v>1</v>
      </c>
      <c r="Y53" s="3">
        <v>1</v>
      </c>
      <c r="Z53" s="3">
        <v>1</v>
      </c>
      <c r="AA53" s="3">
        <v>1</v>
      </c>
    </row>
    <row r="54" spans="1:27" x14ac:dyDescent="0.35">
      <c r="A54" s="3">
        <v>1</v>
      </c>
      <c r="B54" s="3">
        <v>1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3">
        <v>1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</row>
    <row r="55" spans="1:27" x14ac:dyDescent="0.35">
      <c r="A55" s="3">
        <v>1</v>
      </c>
      <c r="B55" s="3">
        <v>1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3">
        <v>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</row>
    <row r="56" spans="1:27" x14ac:dyDescent="0.35">
      <c r="A56" s="3">
        <v>1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1</v>
      </c>
      <c r="AA56" s="3">
        <v>1</v>
      </c>
    </row>
    <row r="57" spans="1:27" x14ac:dyDescent="0.35">
      <c r="A57" s="3">
        <v>1</v>
      </c>
      <c r="B57" s="3">
        <v>1</v>
      </c>
      <c r="C57" s="3">
        <v>1</v>
      </c>
      <c r="D57" s="3">
        <v>1</v>
      </c>
      <c r="E57" s="3">
        <v>1</v>
      </c>
      <c r="F57" s="3">
        <v>1</v>
      </c>
      <c r="G57" s="3">
        <v>1</v>
      </c>
      <c r="H57" s="3">
        <v>1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</row>
    <row r="58" spans="1:27" x14ac:dyDescent="0.35">
      <c r="A58" s="3">
        <v>1</v>
      </c>
      <c r="B58" s="3">
        <v>1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</row>
    <row r="59" spans="1:27" x14ac:dyDescent="0.35">
      <c r="A59" s="3">
        <v>1</v>
      </c>
      <c r="B59" s="3">
        <v>1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3">
        <v>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</row>
    <row r="60" spans="1:27" x14ac:dyDescent="0.35">
      <c r="A60" s="3">
        <v>1</v>
      </c>
      <c r="B60" s="3">
        <v>1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3">
        <v>1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1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</row>
    <row r="61" spans="1:27" x14ac:dyDescent="0.35">
      <c r="A61" s="3">
        <v>1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</row>
    <row r="62" spans="1:27" x14ac:dyDescent="0.35">
      <c r="A62" s="3">
        <v>1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>
        <v>1</v>
      </c>
    </row>
    <row r="63" spans="1:27" x14ac:dyDescent="0.35">
      <c r="A63" s="3">
        <v>1</v>
      </c>
      <c r="B63" s="3">
        <v>1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</row>
    <row r="64" spans="1:27" x14ac:dyDescent="0.35">
      <c r="A64" s="3">
        <v>1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</row>
    <row r="65" spans="1:27" x14ac:dyDescent="0.35">
      <c r="A65" s="3">
        <v>1</v>
      </c>
      <c r="B65" s="3">
        <v>1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3">
        <v>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</row>
    <row r="66" spans="1:27" x14ac:dyDescent="0.35">
      <c r="A66" s="3">
        <v>1</v>
      </c>
      <c r="B66" s="3">
        <v>1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3">
        <v>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</row>
    <row r="67" spans="1:27" x14ac:dyDescent="0.35">
      <c r="A67" s="3">
        <v>1</v>
      </c>
      <c r="B67" s="3">
        <v>1</v>
      </c>
      <c r="C67" s="3">
        <v>1</v>
      </c>
      <c r="D67" s="3">
        <v>1</v>
      </c>
      <c r="E67" s="3">
        <v>1</v>
      </c>
      <c r="F67" s="3">
        <v>1</v>
      </c>
      <c r="G67" s="3">
        <v>1</v>
      </c>
      <c r="H67" s="3">
        <v>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</v>
      </c>
      <c r="V67" s="3">
        <v>1</v>
      </c>
      <c r="W67" s="3">
        <v>1</v>
      </c>
      <c r="X67" s="3">
        <v>1</v>
      </c>
      <c r="Y67" s="3">
        <v>1</v>
      </c>
      <c r="Z67" s="3">
        <v>1</v>
      </c>
      <c r="AA67" s="3">
        <v>1</v>
      </c>
    </row>
    <row r="68" spans="1:27" x14ac:dyDescent="0.35">
      <c r="A68" s="3">
        <v>1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3">
        <v>1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</row>
    <row r="69" spans="1:27" x14ac:dyDescent="0.35">
      <c r="A69" s="3">
        <v>1</v>
      </c>
      <c r="B69" s="3">
        <v>1</v>
      </c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</v>
      </c>
      <c r="V69" s="3">
        <v>1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</row>
    <row r="70" spans="1:27" x14ac:dyDescent="0.35">
      <c r="A70" s="3">
        <v>1</v>
      </c>
      <c r="B70" s="3">
        <v>1</v>
      </c>
      <c r="C70" s="3">
        <v>1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</row>
    <row r="71" spans="1:27" x14ac:dyDescent="0.35">
      <c r="A71" s="3">
        <v>1</v>
      </c>
      <c r="B71" s="3">
        <v>1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</v>
      </c>
      <c r="V71" s="3">
        <v>1</v>
      </c>
      <c r="W71" s="3">
        <v>1</v>
      </c>
      <c r="X71" s="3">
        <v>1</v>
      </c>
      <c r="Y71" s="3">
        <v>1</v>
      </c>
      <c r="Z71" s="3">
        <v>1</v>
      </c>
      <c r="AA71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9599-CF08-44CE-9604-2417438E103C}">
  <dimension ref="A1:V71"/>
  <sheetViews>
    <sheetView workbookViewId="0">
      <selection activeCell="F12" sqref="F12"/>
    </sheetView>
  </sheetViews>
  <sheetFormatPr defaultColWidth="8.7265625" defaultRowHeight="14.5" x14ac:dyDescent="0.35"/>
  <cols>
    <col min="1" max="1" width="11" bestFit="1" customWidth="1"/>
    <col min="4" max="4" width="10" bestFit="1" customWidth="1"/>
    <col min="20" max="20" width="9.7265625" bestFit="1" customWidth="1"/>
  </cols>
  <sheetData>
    <row r="1" spans="1:22" s="4" customFormat="1" x14ac:dyDescent="0.35">
      <c r="A1" s="4">
        <f>0.00000005</f>
        <v>4.9999999999999998E-8</v>
      </c>
      <c r="B1" s="4">
        <f>0.0000001</f>
        <v>9.9999999999999995E-8</v>
      </c>
      <c r="C1" s="9">
        <f>0.5*10^-6</f>
        <v>4.9999999999999998E-7</v>
      </c>
      <c r="D1" s="9">
        <f>0.8*10^-6</f>
        <v>7.9999999999999996E-7</v>
      </c>
      <c r="E1" s="9">
        <f>1*10^-6</f>
        <v>9.9999999999999995E-7</v>
      </c>
      <c r="F1" s="9">
        <f>5*10^-6</f>
        <v>4.9999999999999996E-6</v>
      </c>
      <c r="G1" s="9">
        <f>10*10^-6</f>
        <v>9.9999999999999991E-6</v>
      </c>
      <c r="H1" s="9">
        <f>20*10^-6</f>
        <v>1.9999999999999998E-5</v>
      </c>
      <c r="I1" s="9"/>
      <c r="J1" s="9"/>
    </row>
    <row r="2" spans="1:22" x14ac:dyDescent="0.35"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x14ac:dyDescent="0.35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x14ac:dyDescent="0.35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x14ac:dyDescent="0.35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35"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x14ac:dyDescent="0.35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x14ac:dyDescent="0.35"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x14ac:dyDescent="0.35"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x14ac:dyDescent="0.35"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x14ac:dyDescent="0.35"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x14ac:dyDescent="0.35"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x14ac:dyDescent="0.35"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x14ac:dyDescent="0.35"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x14ac:dyDescent="0.35"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x14ac:dyDescent="0.35"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7:22" x14ac:dyDescent="0.35"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7:22" x14ac:dyDescent="0.35"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7:22" x14ac:dyDescent="0.35"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7:22" x14ac:dyDescent="0.35"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7:22" x14ac:dyDescent="0.35"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7:22" x14ac:dyDescent="0.35"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7:22" x14ac:dyDescent="0.35"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7:22" x14ac:dyDescent="0.35"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7:22" x14ac:dyDescent="0.35"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7:22" x14ac:dyDescent="0.35"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7:22" x14ac:dyDescent="0.35"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7:22" x14ac:dyDescent="0.35"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7:22" x14ac:dyDescent="0.35"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7:22" x14ac:dyDescent="0.35"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7:22" x14ac:dyDescent="0.35"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7:22" x14ac:dyDescent="0.35"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7:22" x14ac:dyDescent="0.35"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7:22" x14ac:dyDescent="0.35"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7:22" x14ac:dyDescent="0.35"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7:22" x14ac:dyDescent="0.35"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7:22" x14ac:dyDescent="0.35"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7:22" x14ac:dyDescent="0.35"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7:22" x14ac:dyDescent="0.35"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7:22" x14ac:dyDescent="0.35"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7:22" x14ac:dyDescent="0.35"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7:22" x14ac:dyDescent="0.35"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7:22" x14ac:dyDescent="0.35"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7:22" x14ac:dyDescent="0.35"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7:22" x14ac:dyDescent="0.35"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7:22" x14ac:dyDescent="0.35"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7:22" x14ac:dyDescent="0.35"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7:22" x14ac:dyDescent="0.35"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7:22" x14ac:dyDescent="0.35"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7:22" x14ac:dyDescent="0.35"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7:22" x14ac:dyDescent="0.35"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7:22" x14ac:dyDescent="0.35"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7:22" x14ac:dyDescent="0.35"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7:22" x14ac:dyDescent="0.35"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7:22" x14ac:dyDescent="0.35"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7:22" x14ac:dyDescent="0.35"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7:22" x14ac:dyDescent="0.35"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7:22" x14ac:dyDescent="0.35"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7:22" x14ac:dyDescent="0.35"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7:22" x14ac:dyDescent="0.35"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7:22" x14ac:dyDescent="0.35"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7:22" x14ac:dyDescent="0.35"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7:22" x14ac:dyDescent="0.35"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7:22" x14ac:dyDescent="0.35"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7:22" x14ac:dyDescent="0.35"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7:22" x14ac:dyDescent="0.35"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7:22" x14ac:dyDescent="0.35"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7:22" x14ac:dyDescent="0.35"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7:22" x14ac:dyDescent="0.35"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7:22" x14ac:dyDescent="0.35"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7:22" x14ac:dyDescent="0.35"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B62A-603D-4451-8F23-ED602FBF2E9B}">
  <dimension ref="A1:C77"/>
  <sheetViews>
    <sheetView tabSelected="1" workbookViewId="0">
      <selection activeCell="A73" sqref="A73:A83"/>
    </sheetView>
  </sheetViews>
  <sheetFormatPr defaultRowHeight="14.5" x14ac:dyDescent="0.35"/>
  <cols>
    <col min="1" max="1" width="12" bestFit="1" customWidth="1"/>
  </cols>
  <sheetData>
    <row r="1" spans="1:3" x14ac:dyDescent="0.35">
      <c r="A1" s="11" t="s">
        <v>13</v>
      </c>
      <c r="B1" s="6" t="s">
        <v>11</v>
      </c>
      <c r="C1" t="s">
        <v>12</v>
      </c>
    </row>
    <row r="2" spans="1:3" x14ac:dyDescent="0.35">
      <c r="A2">
        <v>1.1292975137786868E-7</v>
      </c>
      <c r="B2" s="4">
        <v>5.9903999999999993E-10</v>
      </c>
      <c r="C2" s="4">
        <v>4.1678848283499445E-7</v>
      </c>
    </row>
    <row r="3" spans="1:3" x14ac:dyDescent="0.35">
      <c r="A3">
        <v>1.556638924609779E-7</v>
      </c>
      <c r="B3" s="4">
        <v>7.7167999999999997E-10</v>
      </c>
      <c r="C3">
        <v>5.0805151175811866E-7</v>
      </c>
    </row>
    <row r="4" spans="1:3" x14ac:dyDescent="0.35">
      <c r="A4">
        <v>2.1410529991370722E-7</v>
      </c>
      <c r="B4" s="4">
        <v>9.8559000000000011E-10</v>
      </c>
      <c r="C4">
        <v>6.2011325028312563E-7</v>
      </c>
    </row>
    <row r="5" spans="1:3" x14ac:dyDescent="0.35">
      <c r="A5">
        <v>2.9385750702250325E-7</v>
      </c>
      <c r="B5" s="4">
        <v>1.2531200000000003E-9</v>
      </c>
      <c r="C5">
        <v>7.6422502870264059E-7</v>
      </c>
    </row>
    <row r="6" spans="1:3" x14ac:dyDescent="0.35">
      <c r="A6">
        <v>4.0246274658791305E-7</v>
      </c>
      <c r="B6" s="4">
        <v>1.58765E-9</v>
      </c>
      <c r="C6">
        <v>9.3235157159487763E-7</v>
      </c>
    </row>
    <row r="7" spans="1:3" x14ac:dyDescent="0.35">
      <c r="A7">
        <v>5.5005188513097955E-7</v>
      </c>
      <c r="B7" s="4">
        <v>1.9965829145728646E-9</v>
      </c>
      <c r="C7">
        <v>1.1372781065088757E-6</v>
      </c>
    </row>
    <row r="8" spans="1:3" x14ac:dyDescent="0.35">
      <c r="A8">
        <v>7.5020528293617949E-7</v>
      </c>
      <c r="B8" s="4">
        <v>2.5137688442211059E-9</v>
      </c>
      <c r="C8">
        <v>1.3927710843373495E-6</v>
      </c>
    </row>
    <row r="9" spans="1:3" x14ac:dyDescent="0.35">
      <c r="A9">
        <v>1.0210907781674453E-6</v>
      </c>
      <c r="B9" s="4">
        <v>3.1236180904522614E-9</v>
      </c>
      <c r="C9">
        <v>1.70004914004914E-6</v>
      </c>
    </row>
    <row r="10" spans="1:3" x14ac:dyDescent="0.35">
      <c r="A10">
        <v>1.3869650626042548E-6</v>
      </c>
      <c r="B10" s="4">
        <v>3.8775879396984931E-9</v>
      </c>
      <c r="C10">
        <v>2.068205771643664E-6</v>
      </c>
    </row>
    <row r="11" spans="1:3" x14ac:dyDescent="0.35">
      <c r="A11">
        <v>1.880150656056575E-6</v>
      </c>
      <c r="B11" s="4">
        <v>4.8088944723618093E-9</v>
      </c>
      <c r="C11">
        <v>2.5224807197943446E-6</v>
      </c>
    </row>
    <row r="12" spans="1:3" x14ac:dyDescent="0.35">
      <c r="A12">
        <v>2.5436341505419411E-6</v>
      </c>
      <c r="B12" s="4">
        <v>5.9095477386934661E-9</v>
      </c>
      <c r="C12">
        <v>3.0776912928759896E-6</v>
      </c>
    </row>
    <row r="13" spans="1:3" x14ac:dyDescent="0.35">
      <c r="A13">
        <v>3.4344744866653053E-6</v>
      </c>
      <c r="B13" s="4">
        <v>7.2536683417085427E-9</v>
      </c>
      <c r="C13">
        <v>3.7540841248303932E-6</v>
      </c>
    </row>
    <row r="14" spans="1:3" x14ac:dyDescent="0.35">
      <c r="A14">
        <v>4.628265411440886E-6</v>
      </c>
      <c r="B14" s="4">
        <v>8.8611557788944725E-9</v>
      </c>
      <c r="C14">
        <v>4.5664005602240897E-6</v>
      </c>
    </row>
    <row r="15" spans="1:3" x14ac:dyDescent="0.35">
      <c r="A15">
        <v>6.2249673283607164E-6</v>
      </c>
      <c r="B15" s="4">
        <v>1.0816582914572866E-8</v>
      </c>
      <c r="C15">
        <v>5.5530579710144931E-6</v>
      </c>
    </row>
    <row r="16" spans="1:3" x14ac:dyDescent="0.35">
      <c r="A16">
        <v>8.3565147594329645E-6</v>
      </c>
      <c r="B16" s="4">
        <v>1.3166331658291456E-8</v>
      </c>
      <c r="C16">
        <v>6.7503759398496247E-6</v>
      </c>
    </row>
    <row r="17" spans="1:3" x14ac:dyDescent="0.35">
      <c r="A17">
        <v>1.11967219877108E-5</v>
      </c>
      <c r="B17" s="4">
        <v>1.5947537688442214E-8</v>
      </c>
      <c r="C17">
        <v>8.1932445141065831E-6</v>
      </c>
    </row>
    <row r="18" spans="1:3" x14ac:dyDescent="0.35">
      <c r="A18">
        <v>1.4974157931784007E-5</v>
      </c>
      <c r="B18" s="4">
        <v>1.9330552763819099E-8</v>
      </c>
      <c r="C18">
        <v>9.9319312602291335E-6</v>
      </c>
    </row>
    <row r="19" spans="1:3" x14ac:dyDescent="0.35">
      <c r="A19">
        <v>1.9988850466599243E-5</v>
      </c>
      <c r="B19" s="4">
        <v>2.3301407035175884E-8</v>
      </c>
      <c r="C19">
        <v>1.2057986230636831E-5</v>
      </c>
    </row>
    <row r="20" spans="1:3" x14ac:dyDescent="0.35">
      <c r="A20">
        <v>2.6633920978435226E-5</v>
      </c>
      <c r="B20" s="4">
        <v>2.8073216080402007E-8</v>
      </c>
      <c r="C20">
        <v>1.4602704174228678E-5</v>
      </c>
    </row>
    <row r="21" spans="1:3" x14ac:dyDescent="0.35">
      <c r="A21">
        <v>3.5423555377376347E-5</v>
      </c>
      <c r="B21" s="4">
        <v>3.3726633165829146E-8</v>
      </c>
      <c r="C21">
        <v>1.7686173076923077E-5</v>
      </c>
    </row>
    <row r="22" spans="1:3" x14ac:dyDescent="0.35">
      <c r="A22">
        <v>4.7029104922580857E-5</v>
      </c>
      <c r="B22" s="4">
        <v>4.0646231155778891E-8</v>
      </c>
      <c r="C22">
        <v>2.1276073619631906E-5</v>
      </c>
    </row>
    <row r="23" spans="1:3" x14ac:dyDescent="0.35">
      <c r="A23">
        <v>6.2325600077429584E-5</v>
      </c>
      <c r="B23" s="4">
        <v>4.8464321608040202E-8</v>
      </c>
      <c r="C23">
        <v>2.5997811816192563E-5</v>
      </c>
    </row>
    <row r="24" spans="1:3" x14ac:dyDescent="0.35">
      <c r="A24">
        <v>8.2451579440441145E-5</v>
      </c>
      <c r="B24" s="4">
        <v>5.8151515151515147E-8</v>
      </c>
      <c r="C24">
        <v>3.1191037735849059E-5</v>
      </c>
    </row>
    <row r="25" spans="1:3" x14ac:dyDescent="0.35">
      <c r="A25">
        <v>1.0888591626955732E-4</v>
      </c>
      <c r="B25" s="4">
        <v>6.9666666666666668E-8</v>
      </c>
      <c r="C25">
        <v>3.7969387755102043E-5</v>
      </c>
    </row>
    <row r="26" spans="1:3" x14ac:dyDescent="0.35">
      <c r="A26">
        <v>1.4354630786186644E-4</v>
      </c>
      <c r="B26" s="4">
        <v>8.2742424242424248E-8</v>
      </c>
      <c r="C26">
        <v>4.5511111111111108E-5</v>
      </c>
    </row>
    <row r="27" spans="1:3" x14ac:dyDescent="0.35">
      <c r="A27">
        <v>1.889153285085743E-4</v>
      </c>
      <c r="B27" s="4">
        <v>9.8070707070707056E-8</v>
      </c>
      <c r="C27">
        <v>5.4577507598784202E-5</v>
      </c>
    </row>
    <row r="28" spans="1:3" x14ac:dyDescent="0.35">
      <c r="A28">
        <v>2.4820149743863285E-4</v>
      </c>
      <c r="B28" s="4">
        <v>1.1653535353535354E-7</v>
      </c>
      <c r="C28">
        <v>6.5551839464882938E-5</v>
      </c>
    </row>
    <row r="29" spans="1:3" x14ac:dyDescent="0.35">
      <c r="A29">
        <v>3.2554475647291099E-4</v>
      </c>
      <c r="B29" s="4">
        <v>1.3840909090909091E-7</v>
      </c>
      <c r="C29">
        <v>7.8948148148148158E-5</v>
      </c>
    </row>
    <row r="30" spans="1:3" x14ac:dyDescent="0.35">
      <c r="A30">
        <v>4.2627818365336128E-4</v>
      </c>
      <c r="B30" s="4">
        <v>1.6370558375634515E-7</v>
      </c>
      <c r="C30">
        <v>9.5471074380165284E-5</v>
      </c>
    </row>
    <row r="31" spans="1:3" x14ac:dyDescent="0.35">
      <c r="A31">
        <v>5.5726080686924217E-4</v>
      </c>
      <c r="B31" s="4">
        <v>1.9480203045685281E-7</v>
      </c>
      <c r="C31">
        <v>1.1411574074074071E-4</v>
      </c>
    </row>
    <row r="32" spans="1:3" x14ac:dyDescent="0.35">
      <c r="A32">
        <v>7.2730017082862962E-4</v>
      </c>
      <c r="B32" s="4">
        <v>2.2903553299492385E-7</v>
      </c>
      <c r="C32">
        <v>1.3740314136125658E-4</v>
      </c>
    </row>
    <row r="33" spans="1:3" x14ac:dyDescent="0.35">
      <c r="A33">
        <v>9.4768803042973254E-4</v>
      </c>
      <c r="B33" s="4">
        <v>2.7275510204081633E-7</v>
      </c>
      <c r="C33">
        <v>1.6305325443786986E-4</v>
      </c>
    </row>
    <row r="34" spans="1:3" x14ac:dyDescent="0.35">
      <c r="A34">
        <v>1.232878413321919E-3</v>
      </c>
      <c r="B34" s="4">
        <v>3.2075510204081634E-7</v>
      </c>
      <c r="C34">
        <v>1.9527027027027027E-4</v>
      </c>
    </row>
    <row r="35" spans="1:3" x14ac:dyDescent="0.35">
      <c r="A35">
        <v>1.6013445836301514E-3</v>
      </c>
      <c r="B35" s="4">
        <v>3.8059999999999995E-7</v>
      </c>
      <c r="C35">
        <v>2.3289230769230767E-4</v>
      </c>
    </row>
    <row r="36" spans="1:3" x14ac:dyDescent="0.35">
      <c r="A36">
        <v>2.0766604774403556E-3</v>
      </c>
      <c r="B36" s="4">
        <v>4.4676923076923073E-7</v>
      </c>
      <c r="C36">
        <v>2.7724778761061946E-4</v>
      </c>
    </row>
    <row r="37" spans="1:3" x14ac:dyDescent="0.35">
      <c r="A37">
        <v>2.6888633723157122E-3</v>
      </c>
      <c r="B37" s="4">
        <v>5.2777319587628874E-7</v>
      </c>
      <c r="C37">
        <v>3.3027522935779821E-4</v>
      </c>
    </row>
    <row r="38" spans="1:3" x14ac:dyDescent="0.35">
      <c r="A38">
        <v>3.4761683907812676E-3</v>
      </c>
      <c r="B38" s="4">
        <v>6.2083937823834201E-7</v>
      </c>
      <c r="C38">
        <v>3.9445229681978798E-4</v>
      </c>
    </row>
    <row r="39" spans="1:3" x14ac:dyDescent="0.35">
      <c r="A39">
        <v>4.4871225225998875E-3</v>
      </c>
      <c r="B39" s="4">
        <v>7.3504166666666671E-7</v>
      </c>
      <c r="C39">
        <v>4.6755464480874309E-4</v>
      </c>
    </row>
    <row r="40" spans="1:3" x14ac:dyDescent="0.35">
      <c r="A40">
        <v>5.7833069150270491E-3</v>
      </c>
      <c r="B40" s="4">
        <v>8.6670157068062832E-7</v>
      </c>
      <c r="C40">
        <v>5.5418383518225048E-4</v>
      </c>
    </row>
    <row r="41" spans="1:3" x14ac:dyDescent="0.35">
      <c r="A41">
        <v>7.4427221147195799E-3</v>
      </c>
      <c r="B41" s="4">
        <v>1.0191005291005291E-6</v>
      </c>
      <c r="C41">
        <v>6.5784530386740314E-4</v>
      </c>
    </row>
    <row r="42" spans="1:3" x14ac:dyDescent="0.35">
      <c r="A42">
        <v>9.5640228313873185E-3</v>
      </c>
      <c r="B42" s="4">
        <v>1.2063829787234041E-6</v>
      </c>
      <c r="C42">
        <v>7.8285407725321883E-4</v>
      </c>
    </row>
    <row r="43" spans="1:3" x14ac:dyDescent="0.35">
      <c r="A43">
        <v>1.2271807943841372E-2</v>
      </c>
      <c r="B43" s="4">
        <v>1.4301075268817205E-6</v>
      </c>
      <c r="C43">
        <v>9.2159999999999996E-4</v>
      </c>
    </row>
    <row r="44" spans="1:3" x14ac:dyDescent="0.35">
      <c r="A44">
        <v>1.5723219473424421E-2</v>
      </c>
      <c r="B44" s="4">
        <v>1.7012568306010927E-6</v>
      </c>
      <c r="C44">
        <v>1.0859766763848398E-3</v>
      </c>
    </row>
    <row r="45" spans="1:3" x14ac:dyDescent="0.35">
      <c r="A45">
        <v>2.0116163030989169E-2</v>
      </c>
      <c r="B45" s="4">
        <v>2.004861878453039E-6</v>
      </c>
      <c r="C45">
        <v>1.2801360544217688E-3</v>
      </c>
    </row>
    <row r="46" spans="1:3" x14ac:dyDescent="0.35">
      <c r="A46">
        <v>2.5699534125081736E-2</v>
      </c>
      <c r="B46" s="4">
        <v>2.3853932584269664E-6</v>
      </c>
      <c r="C46">
        <v>1.5029644268774703E-3</v>
      </c>
    </row>
    <row r="47" spans="1:3" x14ac:dyDescent="0.35">
      <c r="A47">
        <v>3.2785922504382253E-2</v>
      </c>
      <c r="B47" s="4">
        <v>2.8542528735632184E-6</v>
      </c>
      <c r="C47">
        <v>1.770322580645161E-3</v>
      </c>
    </row>
    <row r="48" spans="1:3" x14ac:dyDescent="0.35">
      <c r="A48">
        <v>4.1767373775298156E-2</v>
      </c>
      <c r="B48" s="7">
        <v>9.9999999999999991E-5</v>
      </c>
      <c r="C48">
        <v>1.8087501131513749E-4</v>
      </c>
    </row>
    <row r="49" spans="1:3" x14ac:dyDescent="0.35">
      <c r="A49">
        <v>5.3134917952148773E-2</v>
      </c>
      <c r="B49" s="7">
        <v>1.1399999999999999E-4</v>
      </c>
      <c r="C49">
        <v>2.6820655166697322E-4</v>
      </c>
    </row>
    <row r="50" spans="1:3" x14ac:dyDescent="0.35">
      <c r="A50">
        <v>6.7502733250429825E-2</v>
      </c>
      <c r="B50" s="7">
        <v>1.3199999999999998E-4</v>
      </c>
      <c r="C50">
        <v>5.1400882051966625E-4</v>
      </c>
    </row>
    <row r="51" spans="1:3" x14ac:dyDescent="0.35">
      <c r="A51">
        <v>8.5638006191169375E-2</v>
      </c>
      <c r="B51" s="7">
        <v>1.5199999999999998E-4</v>
      </c>
      <c r="C51">
        <v>0</v>
      </c>
    </row>
    <row r="52" spans="1:3" x14ac:dyDescent="0.35">
      <c r="A52">
        <v>0.10849778298229032</v>
      </c>
      <c r="B52" s="7">
        <v>1.75E-4</v>
      </c>
      <c r="C52">
        <v>0</v>
      </c>
    </row>
    <row r="53" spans="1:3" x14ac:dyDescent="0.35">
      <c r="A53">
        <v>0.1372743906073853</v>
      </c>
      <c r="B53" s="7">
        <v>2.02E-4</v>
      </c>
      <c r="C53">
        <v>0</v>
      </c>
    </row>
    <row r="54" spans="1:3" x14ac:dyDescent="0.35">
      <c r="A54">
        <v>0.17345134916199609</v>
      </c>
      <c r="B54" s="7">
        <v>2.33E-4</v>
      </c>
      <c r="C54">
        <v>0</v>
      </c>
    </row>
    <row r="55" spans="1:3" x14ac:dyDescent="0.35">
      <c r="A55">
        <v>0.21887211177318899</v>
      </c>
      <c r="B55" s="7">
        <v>2.7E-4</v>
      </c>
      <c r="C55">
        <v>0</v>
      </c>
    </row>
    <row r="56" spans="1:3" x14ac:dyDescent="0.35">
      <c r="A56">
        <v>0.27582446928775989</v>
      </c>
      <c r="B56" s="7">
        <v>3.1299999999999996E-4</v>
      </c>
      <c r="C56">
        <v>0</v>
      </c>
    </row>
    <row r="57" spans="1:3" x14ac:dyDescent="0.35">
      <c r="A57">
        <v>0.34714406094203232</v>
      </c>
      <c r="B57" s="7">
        <v>3.6499999999999998E-4</v>
      </c>
      <c r="C57">
        <v>0</v>
      </c>
    </row>
    <row r="58" spans="1:3" x14ac:dyDescent="0.35">
      <c r="A58">
        <v>0.43634115981722027</v>
      </c>
      <c r="B58" s="7">
        <v>4.2099999999999999E-4</v>
      </c>
      <c r="C58">
        <v>0</v>
      </c>
    </row>
    <row r="59" spans="1:3" x14ac:dyDescent="0.35">
      <c r="A59">
        <v>0.54775577727874591</v>
      </c>
      <c r="B59" s="7">
        <v>4.8899999999999996E-4</v>
      </c>
      <c r="C59">
        <v>0</v>
      </c>
    </row>
    <row r="60" spans="1:3" x14ac:dyDescent="0.35">
      <c r="A60">
        <v>0.68674718258505951</v>
      </c>
      <c r="B60" s="7">
        <v>5.6700000000000001E-4</v>
      </c>
      <c r="C60">
        <v>0</v>
      </c>
    </row>
    <row r="61" spans="1:3" x14ac:dyDescent="0.35">
      <c r="A61">
        <v>0.85992519658531763</v>
      </c>
      <c r="B61" s="7">
        <v>6.5799999999999995E-4</v>
      </c>
      <c r="C61">
        <v>0</v>
      </c>
    </row>
    <row r="62" spans="1:3" x14ac:dyDescent="0.35">
      <c r="A62">
        <v>1.0754321323791018</v>
      </c>
      <c r="B62" s="7">
        <v>7.6300000000000001E-4</v>
      </c>
      <c r="C62">
        <v>0</v>
      </c>
    </row>
    <row r="63" spans="1:3" x14ac:dyDescent="0.35">
      <c r="A63">
        <v>1.3432860688912223</v>
      </c>
      <c r="B63" s="7">
        <v>8.83E-4</v>
      </c>
      <c r="C63">
        <v>0</v>
      </c>
    </row>
    <row r="64" spans="1:3" x14ac:dyDescent="0.35">
      <c r="A64">
        <v>1.6757983121630058</v>
      </c>
      <c r="B64" s="7">
        <v>1.0199999999999999E-3</v>
      </c>
      <c r="C64">
        <v>0</v>
      </c>
    </row>
    <row r="65" spans="1:3" x14ac:dyDescent="0.35">
      <c r="A65">
        <v>2.0880804906770272</v>
      </c>
      <c r="B65" s="7">
        <v>1.17E-3</v>
      </c>
      <c r="C65">
        <v>0</v>
      </c>
    </row>
    <row r="66" spans="1:3" x14ac:dyDescent="0.35">
      <c r="A66">
        <v>2.5986598241385597</v>
      </c>
      <c r="B66" s="7">
        <v>1.34E-3</v>
      </c>
      <c r="C66">
        <v>0</v>
      </c>
    </row>
    <row r="67" spans="1:3" x14ac:dyDescent="0.35">
      <c r="A67">
        <v>3.230224792844568</v>
      </c>
      <c r="B67" s="7">
        <v>1.5299999999999999E-3</v>
      </c>
      <c r="C67">
        <v>0</v>
      </c>
    </row>
    <row r="68" spans="1:3" x14ac:dyDescent="0.35">
      <c r="A68">
        <v>4.010527826575772</v>
      </c>
      <c r="B68" s="7">
        <v>1.74E-3</v>
      </c>
      <c r="C68">
        <v>0</v>
      </c>
    </row>
    <row r="69" spans="1:3" x14ac:dyDescent="0.35">
      <c r="A69">
        <v>4.9734768566114678</v>
      </c>
      <c r="B69" s="7">
        <v>1.98E-3</v>
      </c>
      <c r="C69">
        <v>0</v>
      </c>
    </row>
    <row r="70" spans="1:3" x14ac:dyDescent="0.35">
      <c r="A70">
        <v>6.1604537832500998</v>
      </c>
      <c r="B70" s="7">
        <v>2.2199999999999998E-3</v>
      </c>
      <c r="C70">
        <v>0</v>
      </c>
    </row>
    <row r="71" spans="1:3" x14ac:dyDescent="0.35">
      <c r="A71">
        <v>7.6219052816296209</v>
      </c>
      <c r="B71" s="7">
        <v>2.49E-3</v>
      </c>
      <c r="C71">
        <v>0</v>
      </c>
    </row>
    <row r="72" spans="1:3" x14ac:dyDescent="0.35">
      <c r="A72">
        <v>9.4192601087666876</v>
      </c>
      <c r="B72" s="7">
        <v>2.7799999999999999E-3</v>
      </c>
      <c r="C72">
        <v>0</v>
      </c>
    </row>
    <row r="73" spans="1:3" x14ac:dyDescent="0.35">
      <c r="C73" s="4"/>
    </row>
    <row r="74" spans="1:3" x14ac:dyDescent="0.35">
      <c r="C74" s="4"/>
    </row>
    <row r="75" spans="1:3" x14ac:dyDescent="0.35">
      <c r="C75" s="4"/>
    </row>
    <row r="76" spans="1:3" x14ac:dyDescent="0.35">
      <c r="C76" s="4"/>
    </row>
    <row r="77" spans="1:3" x14ac:dyDescent="0.35">
      <c r="C7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DDF7-6719-4D61-993C-0BF87C91FED0}">
  <dimension ref="A1:H71"/>
  <sheetViews>
    <sheetView workbookViewId="0">
      <selection activeCell="L8" sqref="L8"/>
    </sheetView>
  </sheetViews>
  <sheetFormatPr defaultRowHeight="14.5" x14ac:dyDescent="0.35"/>
  <cols>
    <col min="2" max="2" width="10.26953125" bestFit="1" customWidth="1"/>
    <col min="8" max="8" width="13.7265625" bestFit="1" customWidth="1"/>
  </cols>
  <sheetData>
    <row r="1" spans="1:8" x14ac:dyDescent="0.35">
      <c r="A1" s="4">
        <v>1.9900000000000001E-10</v>
      </c>
      <c r="B1" s="4">
        <v>5.9400000000000002E-10</v>
      </c>
      <c r="C1" s="4">
        <v>1.67E-7</v>
      </c>
      <c r="D1" s="4">
        <v>2.6399999999999998E-7</v>
      </c>
      <c r="E1" s="4">
        <v>3.1699999999999999E-7</v>
      </c>
      <c r="F1" s="4">
        <v>8.9899999999999999E-7</v>
      </c>
      <c r="G1" s="4">
        <v>1.33E-6</v>
      </c>
      <c r="H1" s="4">
        <v>1.9199999999999998E-6</v>
      </c>
    </row>
    <row r="2" spans="1:8" x14ac:dyDescent="0.35">
      <c r="A2" s="4">
        <v>2.5599999999999999E-10</v>
      </c>
      <c r="B2" s="4">
        <v>7.6199999999999995E-10</v>
      </c>
      <c r="C2" s="4">
        <v>1.7700000000000001E-7</v>
      </c>
      <c r="D2" s="4">
        <v>2.84E-7</v>
      </c>
      <c r="E2" s="4">
        <v>3.41E-7</v>
      </c>
      <c r="F2" s="4">
        <v>9.850000000000001E-7</v>
      </c>
      <c r="G2" s="4">
        <v>1.46E-6</v>
      </c>
      <c r="H2" s="4">
        <v>2.12E-6</v>
      </c>
    </row>
    <row r="3" spans="1:8" x14ac:dyDescent="0.35">
      <c r="A3" s="4">
        <v>3.2700000000000001E-10</v>
      </c>
      <c r="B3" s="4">
        <v>9.6900000000000007E-10</v>
      </c>
      <c r="C3" s="4">
        <v>1.8799999999999999E-7</v>
      </c>
      <c r="D3" s="4">
        <v>3.0400000000000002E-7</v>
      </c>
      <c r="E3" s="4">
        <v>3.6699999999999999E-7</v>
      </c>
      <c r="F3" s="4">
        <v>1.08E-6</v>
      </c>
      <c r="G3" s="4">
        <v>1.5999999999999999E-6</v>
      </c>
      <c r="H3" s="4">
        <v>2.3300000000000001E-6</v>
      </c>
    </row>
    <row r="4" spans="1:8" x14ac:dyDescent="0.35">
      <c r="A4" s="4">
        <v>4.1400000000000002E-10</v>
      </c>
      <c r="B4" s="4">
        <v>1.2300000000000001E-9</v>
      </c>
      <c r="C4" s="4">
        <v>1.98E-7</v>
      </c>
      <c r="D4" s="4">
        <v>3.2399999999999999E-7</v>
      </c>
      <c r="E4" s="4">
        <v>3.9400000000000001E-7</v>
      </c>
      <c r="F4" s="4">
        <v>1.17E-6</v>
      </c>
      <c r="G4" s="4">
        <v>1.75E-6</v>
      </c>
      <c r="H4" s="4">
        <v>2.5600000000000001E-6</v>
      </c>
    </row>
    <row r="5" spans="1:8" x14ac:dyDescent="0.35">
      <c r="A5" s="4">
        <v>5.2199999999999996E-10</v>
      </c>
      <c r="B5" s="4">
        <v>1.5400000000000001E-9</v>
      </c>
      <c r="C5" s="4">
        <v>2.0800000000000001E-7</v>
      </c>
      <c r="D5" s="4">
        <v>3.4499999999999998E-7</v>
      </c>
      <c r="E5" s="4">
        <v>4.2100000000000002E-7</v>
      </c>
      <c r="F5" s="4">
        <v>1.28E-6</v>
      </c>
      <c r="G5" s="4">
        <v>1.9199999999999998E-6</v>
      </c>
      <c r="H5" s="4">
        <v>2.8100000000000002E-6</v>
      </c>
    </row>
    <row r="6" spans="1:8" x14ac:dyDescent="0.35">
      <c r="A6" s="4">
        <v>6.5500000000000001E-10</v>
      </c>
      <c r="B6" s="4">
        <v>1.92E-9</v>
      </c>
      <c r="C6" s="4">
        <v>2.1799999999999999E-7</v>
      </c>
      <c r="D6" s="4">
        <v>3.6600000000000002E-7</v>
      </c>
      <c r="E6" s="4">
        <v>4.4799999999999999E-7</v>
      </c>
      <c r="F6" s="4">
        <v>1.39E-6</v>
      </c>
      <c r="G6" s="4">
        <v>2.0899999999999999E-6</v>
      </c>
      <c r="H6" s="4">
        <v>3.0800000000000002E-6</v>
      </c>
    </row>
    <row r="7" spans="1:8" x14ac:dyDescent="0.35">
      <c r="A7" s="4">
        <v>8.1599999999999997E-10</v>
      </c>
      <c r="B7" s="4">
        <v>2.3899999999999998E-9</v>
      </c>
      <c r="C7" s="4">
        <v>2.28E-7</v>
      </c>
      <c r="D7" s="4">
        <v>3.8700000000000001E-7</v>
      </c>
      <c r="E7" s="4">
        <v>4.7599999999999997E-7</v>
      </c>
      <c r="F7" s="4">
        <v>1.5099999999999999E-6</v>
      </c>
      <c r="G7" s="4">
        <v>2.2900000000000001E-6</v>
      </c>
      <c r="H7" s="4">
        <v>3.3799999999999998E-6</v>
      </c>
    </row>
    <row r="8" spans="1:8" x14ac:dyDescent="0.35">
      <c r="A8" s="4">
        <v>1.01E-9</v>
      </c>
      <c r="B8" s="4">
        <v>2.9400000000000002E-9</v>
      </c>
      <c r="C8" s="4">
        <v>2.3699999999999999E-7</v>
      </c>
      <c r="D8" s="4">
        <v>4.0699999999999998E-7</v>
      </c>
      <c r="E8" s="4">
        <v>5.0299999999999999E-7</v>
      </c>
      <c r="F8" s="4">
        <v>1.64E-6</v>
      </c>
      <c r="G8" s="4">
        <v>2.4899999999999999E-6</v>
      </c>
      <c r="H8" s="4">
        <v>3.7000000000000002E-6</v>
      </c>
    </row>
    <row r="9" spans="1:8" x14ac:dyDescent="0.35">
      <c r="A9" s="4">
        <v>1.25E-9</v>
      </c>
      <c r="B9" s="4">
        <v>3.6E-9</v>
      </c>
      <c r="C9" s="4">
        <v>2.4499999999999998E-7</v>
      </c>
      <c r="D9" s="4">
        <v>4.2599999999999998E-7</v>
      </c>
      <c r="E9" s="4">
        <v>5.3000000000000001E-7</v>
      </c>
      <c r="F9" s="4">
        <v>1.77E-6</v>
      </c>
      <c r="G9" s="4">
        <v>2.7099999999999999E-6</v>
      </c>
      <c r="H9" s="4">
        <v>4.0400000000000003E-6</v>
      </c>
    </row>
    <row r="10" spans="1:8" x14ac:dyDescent="0.35">
      <c r="A10" s="4">
        <v>1.5300000000000001E-9</v>
      </c>
      <c r="B10" s="4">
        <v>4.3899999999999999E-9</v>
      </c>
      <c r="C10" s="4">
        <v>2.53E-7</v>
      </c>
      <c r="D10" s="4">
        <v>4.4499999999999997E-7</v>
      </c>
      <c r="E10" s="4">
        <v>5.5700000000000002E-7</v>
      </c>
      <c r="F10" s="4">
        <v>1.9099999999999999E-6</v>
      </c>
      <c r="G10" s="4">
        <v>2.9399999999999998E-6</v>
      </c>
      <c r="H10" s="4">
        <v>4.4100000000000001E-6</v>
      </c>
    </row>
    <row r="11" spans="1:8" x14ac:dyDescent="0.35">
      <c r="A11" s="4">
        <v>1.87E-9</v>
      </c>
      <c r="B11" s="4">
        <v>5.3100000000000001E-9</v>
      </c>
      <c r="C11" s="4">
        <v>2.6E-7</v>
      </c>
      <c r="D11" s="4">
        <v>4.63E-7</v>
      </c>
      <c r="E11" s="4">
        <v>5.82E-7</v>
      </c>
      <c r="F11" s="4">
        <v>2.0600000000000002E-6</v>
      </c>
      <c r="G11" s="4">
        <v>3.19E-6</v>
      </c>
      <c r="H11" s="4">
        <v>4.7999999999999998E-6</v>
      </c>
    </row>
    <row r="12" spans="1:8" x14ac:dyDescent="0.35">
      <c r="A12" s="4">
        <v>2.2699999999999998E-9</v>
      </c>
      <c r="B12" s="4">
        <v>6.3700000000000001E-9</v>
      </c>
      <c r="C12" s="4">
        <v>2.67E-7</v>
      </c>
      <c r="D12" s="4">
        <v>4.7999999999999996E-7</v>
      </c>
      <c r="E12" s="4">
        <v>6.06E-7</v>
      </c>
      <c r="F12" s="4">
        <v>2.21E-6</v>
      </c>
      <c r="G12" s="4">
        <v>3.45E-6</v>
      </c>
      <c r="H12" s="4">
        <v>5.2299999999999999E-6</v>
      </c>
    </row>
    <row r="13" spans="1:8" x14ac:dyDescent="0.35">
      <c r="A13" s="4">
        <v>2.7400000000000001E-9</v>
      </c>
      <c r="B13" s="4">
        <v>7.61E-9</v>
      </c>
      <c r="C13" s="4">
        <v>2.7300000000000002E-7</v>
      </c>
      <c r="D13" s="4">
        <v>4.9599999999999999E-7</v>
      </c>
      <c r="E13" s="4">
        <v>6.2900000000000003E-7</v>
      </c>
      <c r="F13" s="4">
        <v>2.3599999999999999E-6</v>
      </c>
      <c r="G13" s="4">
        <v>3.72E-6</v>
      </c>
      <c r="H13" s="4">
        <v>5.6699999999999999E-6</v>
      </c>
    </row>
    <row r="14" spans="1:8" x14ac:dyDescent="0.35">
      <c r="A14" s="4">
        <v>3.29E-9</v>
      </c>
      <c r="B14" s="4">
        <v>9.0200000000000007E-9</v>
      </c>
      <c r="C14" s="4">
        <v>2.79E-7</v>
      </c>
      <c r="D14" s="4">
        <v>5.0999999999999999E-7</v>
      </c>
      <c r="E14" s="4">
        <v>6.5099999999999999E-7</v>
      </c>
      <c r="F14" s="4">
        <v>2.52E-6</v>
      </c>
      <c r="G14" s="4">
        <v>4.0099999999999997E-6</v>
      </c>
      <c r="H14" s="4">
        <v>6.1500000000000004E-6</v>
      </c>
    </row>
    <row r="15" spans="1:8" x14ac:dyDescent="0.35">
      <c r="A15" s="4">
        <v>3.94E-9</v>
      </c>
      <c r="B15" s="4">
        <v>1.0600000000000001E-8</v>
      </c>
      <c r="C15" s="4">
        <v>2.8500000000000002E-7</v>
      </c>
      <c r="D15" s="4">
        <v>5.2399999999999998E-7</v>
      </c>
      <c r="E15" s="4">
        <v>6.7000000000000004E-7</v>
      </c>
      <c r="F15" s="4">
        <v>2.6800000000000002E-6</v>
      </c>
      <c r="G15" s="4">
        <v>4.3000000000000003E-6</v>
      </c>
      <c r="H15" s="4">
        <v>6.6499999999999999E-6</v>
      </c>
    </row>
    <row r="16" spans="1:8" x14ac:dyDescent="0.35">
      <c r="A16" s="4">
        <v>4.6699999999999998E-9</v>
      </c>
      <c r="B16" s="4">
        <v>1.24E-8</v>
      </c>
      <c r="C16" s="4">
        <v>2.8999999999999998E-7</v>
      </c>
      <c r="D16" s="4">
        <v>5.3600000000000004E-7</v>
      </c>
      <c r="E16" s="4">
        <v>6.8899999999999999E-7</v>
      </c>
      <c r="F16" s="4">
        <v>2.8399999999999999E-6</v>
      </c>
      <c r="G16" s="4">
        <v>4.6099999999999999E-6</v>
      </c>
      <c r="H16" s="4">
        <v>7.1799999999999999E-6</v>
      </c>
    </row>
    <row r="17" spans="1:8" x14ac:dyDescent="0.35">
      <c r="A17" s="4">
        <v>5.52E-9</v>
      </c>
      <c r="B17" s="4">
        <v>1.44E-8</v>
      </c>
      <c r="C17" s="4">
        <v>2.9499999999999998E-7</v>
      </c>
      <c r="D17" s="4">
        <v>5.4700000000000001E-7</v>
      </c>
      <c r="E17" s="4">
        <v>7.0500000000000003E-7</v>
      </c>
      <c r="F17" s="4">
        <v>3.0000000000000001E-6</v>
      </c>
      <c r="G17" s="4">
        <v>4.9200000000000003E-6</v>
      </c>
      <c r="H17" s="4">
        <v>7.7400000000000004E-6</v>
      </c>
    </row>
    <row r="18" spans="1:8" x14ac:dyDescent="0.35">
      <c r="A18" s="4">
        <v>6.48E-9</v>
      </c>
      <c r="B18" s="4">
        <v>1.66E-8</v>
      </c>
      <c r="C18" s="4">
        <v>2.9999999999999999E-7</v>
      </c>
      <c r="D18" s="4">
        <v>5.5700000000000002E-7</v>
      </c>
      <c r="E18" s="4">
        <v>7.1999999999999999E-7</v>
      </c>
      <c r="F18" s="4">
        <v>3.1499999999999999E-6</v>
      </c>
      <c r="G18" s="4">
        <v>5.2399999999999998E-6</v>
      </c>
      <c r="H18" s="4">
        <v>8.3100000000000001E-6</v>
      </c>
    </row>
    <row r="19" spans="1:8" x14ac:dyDescent="0.35">
      <c r="A19" s="4">
        <v>7.5599999999999995E-9</v>
      </c>
      <c r="B19" s="4">
        <v>1.9099999999999999E-8</v>
      </c>
      <c r="C19" s="4">
        <v>3.0400000000000002E-7</v>
      </c>
      <c r="D19" s="4">
        <v>5.6599999999999996E-7</v>
      </c>
      <c r="E19" s="4">
        <v>7.3399999999999998E-7</v>
      </c>
      <c r="F19" s="4">
        <v>3.3000000000000002E-6</v>
      </c>
      <c r="G19" s="4">
        <v>5.5600000000000001E-6</v>
      </c>
      <c r="H19" s="4">
        <v>8.9099999999999994E-6</v>
      </c>
    </row>
    <row r="20" spans="1:8" x14ac:dyDescent="0.35">
      <c r="A20" s="4">
        <v>8.7700000000000001E-9</v>
      </c>
      <c r="B20" s="4">
        <v>2.1699999999999999E-8</v>
      </c>
      <c r="C20" s="4">
        <v>3.0899999999999997E-7</v>
      </c>
      <c r="D20" s="4">
        <v>5.7400000000000003E-7</v>
      </c>
      <c r="E20" s="4">
        <v>7.4600000000000004E-7</v>
      </c>
      <c r="F20" s="4">
        <v>3.45E-6</v>
      </c>
      <c r="G20" s="4">
        <v>5.8799999999999996E-6</v>
      </c>
      <c r="H20" s="4">
        <v>9.5200000000000003E-6</v>
      </c>
    </row>
    <row r="21" spans="1:8" x14ac:dyDescent="0.35">
      <c r="A21" s="4">
        <v>1.0099999999999999E-8</v>
      </c>
      <c r="B21" s="4">
        <v>2.4500000000000001E-8</v>
      </c>
      <c r="C21" s="4">
        <v>3.1399999999999998E-7</v>
      </c>
      <c r="D21" s="4">
        <v>5.8100000000000003E-7</v>
      </c>
      <c r="E21" s="4">
        <v>7.5700000000000002E-7</v>
      </c>
      <c r="F21" s="4">
        <v>3.5899999999999999E-6</v>
      </c>
      <c r="G21" s="4">
        <v>6.1999999999999999E-6</v>
      </c>
      <c r="H21" s="4">
        <v>1.0200000000000001E-5</v>
      </c>
    </row>
    <row r="22" spans="1:8" x14ac:dyDescent="0.35">
      <c r="A22" s="4">
        <v>1.15E-8</v>
      </c>
      <c r="B22" s="4">
        <v>2.7500000000000001E-8</v>
      </c>
      <c r="C22" s="4">
        <v>3.1899999999999998E-7</v>
      </c>
      <c r="D22" s="4">
        <v>5.8800000000000002E-7</v>
      </c>
      <c r="E22" s="4">
        <v>7.6599999999999995E-7</v>
      </c>
      <c r="F22" s="4">
        <v>3.7299999999999999E-6</v>
      </c>
      <c r="G22" s="4">
        <v>6.5100000000000004E-6</v>
      </c>
      <c r="H22" s="4">
        <v>1.08E-5</v>
      </c>
    </row>
    <row r="23" spans="1:8" x14ac:dyDescent="0.35">
      <c r="A23" s="4">
        <v>1.31E-8</v>
      </c>
      <c r="B23" s="4">
        <v>3.0699999999999997E-8</v>
      </c>
      <c r="C23" s="4">
        <v>3.2399999999999999E-7</v>
      </c>
      <c r="D23" s="4">
        <v>5.9500000000000002E-7</v>
      </c>
      <c r="E23" s="4">
        <v>7.7499999999999999E-7</v>
      </c>
      <c r="F23" s="4">
        <v>3.8500000000000004E-6</v>
      </c>
      <c r="G23" s="4">
        <v>6.8199999999999999E-6</v>
      </c>
      <c r="H23" s="4">
        <v>1.1399999999999999E-5</v>
      </c>
    </row>
    <row r="24" spans="1:8" x14ac:dyDescent="0.35">
      <c r="A24" s="4">
        <v>1.48E-8</v>
      </c>
      <c r="B24" s="4">
        <v>3.4E-8</v>
      </c>
      <c r="C24" s="4">
        <v>3.2899999999999999E-7</v>
      </c>
      <c r="D24" s="4">
        <v>6.0100000000000005E-7</v>
      </c>
      <c r="E24" s="4">
        <v>7.8400000000000003E-7</v>
      </c>
      <c r="F24" s="4">
        <v>3.9700000000000001E-6</v>
      </c>
      <c r="G24" s="4">
        <v>7.1099999999999997E-6</v>
      </c>
      <c r="H24" s="4">
        <v>1.2099999999999999E-5</v>
      </c>
    </row>
    <row r="25" spans="1:8" x14ac:dyDescent="0.35">
      <c r="A25" s="4">
        <v>1.66E-8</v>
      </c>
      <c r="B25" s="4">
        <v>3.7499999999999998E-8</v>
      </c>
      <c r="C25" s="4">
        <v>3.3500000000000002E-7</v>
      </c>
      <c r="D25" s="4">
        <v>6.0800000000000004E-7</v>
      </c>
      <c r="E25" s="4">
        <v>7.9100000000000003E-7</v>
      </c>
      <c r="F25" s="4">
        <v>4.07E-6</v>
      </c>
      <c r="G25" s="4">
        <v>7.3900000000000004E-6</v>
      </c>
      <c r="H25" s="4">
        <v>1.27E-5</v>
      </c>
    </row>
    <row r="26" spans="1:8" x14ac:dyDescent="0.35">
      <c r="A26" s="4">
        <v>1.8399999999999999E-8</v>
      </c>
      <c r="B26" s="4">
        <v>4.1000000000000003E-8</v>
      </c>
      <c r="C26" s="4">
        <v>3.3999999999999997E-7</v>
      </c>
      <c r="D26" s="4">
        <v>6.1399999999999997E-7</v>
      </c>
      <c r="E26" s="4">
        <v>7.9899999999999999E-7</v>
      </c>
      <c r="F26" s="4">
        <v>4.1699999999999999E-6</v>
      </c>
      <c r="G26" s="4">
        <v>7.6599999999999995E-6</v>
      </c>
      <c r="H26" s="4">
        <v>1.33E-5</v>
      </c>
    </row>
    <row r="27" spans="1:8" x14ac:dyDescent="0.35">
      <c r="A27" s="4">
        <v>2.03E-8</v>
      </c>
      <c r="B27" s="4">
        <v>4.4600000000000002E-8</v>
      </c>
      <c r="C27" s="4">
        <v>3.4700000000000002E-7</v>
      </c>
      <c r="D27" s="4">
        <v>6.1999999999999999E-7</v>
      </c>
      <c r="E27" s="4">
        <v>8.0599999999999999E-7</v>
      </c>
      <c r="F27" s="4">
        <v>4.25E-6</v>
      </c>
      <c r="G27" s="4">
        <v>7.9000000000000006E-6</v>
      </c>
      <c r="H27" s="4">
        <v>1.3900000000000001E-5</v>
      </c>
    </row>
    <row r="28" spans="1:8" x14ac:dyDescent="0.35">
      <c r="A28" s="4">
        <v>2.2300000000000001E-8</v>
      </c>
      <c r="B28" s="4">
        <v>4.8200000000000001E-8</v>
      </c>
      <c r="C28" s="4">
        <v>3.53E-7</v>
      </c>
      <c r="D28" s="4">
        <v>6.2600000000000002E-7</v>
      </c>
      <c r="E28" s="4">
        <v>8.1200000000000002E-7</v>
      </c>
      <c r="F28" s="4">
        <v>4.33E-6</v>
      </c>
      <c r="G28" s="4">
        <v>8.1300000000000001E-6</v>
      </c>
      <c r="H28" s="4">
        <v>1.45E-5</v>
      </c>
    </row>
    <row r="29" spans="1:8" x14ac:dyDescent="0.35">
      <c r="A29" s="4">
        <v>2.4200000000000002E-8</v>
      </c>
      <c r="B29" s="4">
        <v>5.1900000000000002E-8</v>
      </c>
      <c r="C29" s="4">
        <v>3.5999999999999999E-7</v>
      </c>
      <c r="D29" s="4">
        <v>6.3300000000000002E-7</v>
      </c>
      <c r="E29" s="4">
        <v>8.1900000000000001E-7</v>
      </c>
      <c r="F29" s="4">
        <v>4.4000000000000002E-6</v>
      </c>
      <c r="G29" s="4">
        <v>8.3399999999999998E-6</v>
      </c>
      <c r="H29" s="4">
        <v>1.5E-5</v>
      </c>
    </row>
    <row r="30" spans="1:8" x14ac:dyDescent="0.35">
      <c r="A30" s="4">
        <v>2.62E-8</v>
      </c>
      <c r="B30" s="4">
        <v>5.5500000000000001E-8</v>
      </c>
      <c r="C30" s="4">
        <v>3.6699999999999999E-7</v>
      </c>
      <c r="D30" s="4">
        <v>6.3900000000000004E-7</v>
      </c>
      <c r="E30" s="4">
        <v>8.2600000000000001E-7</v>
      </c>
      <c r="F30" s="4">
        <v>4.4599999999999996E-6</v>
      </c>
      <c r="G30" s="4">
        <v>8.5299999999999996E-6</v>
      </c>
      <c r="H30" s="4">
        <v>1.56E-5</v>
      </c>
    </row>
    <row r="31" spans="1:8" x14ac:dyDescent="0.35">
      <c r="A31" s="4">
        <v>2.8200000000000001E-8</v>
      </c>
      <c r="B31" s="4">
        <v>5.91E-8</v>
      </c>
      <c r="C31" s="4">
        <v>3.7399999999999999E-7</v>
      </c>
      <c r="D31" s="4">
        <v>6.4600000000000004E-7</v>
      </c>
      <c r="E31" s="4">
        <v>8.3300000000000001E-7</v>
      </c>
      <c r="F31" s="4">
        <v>4.51E-6</v>
      </c>
      <c r="G31" s="4">
        <v>8.6999999999999997E-6</v>
      </c>
      <c r="H31" s="4">
        <v>1.5999999999999999E-5</v>
      </c>
    </row>
    <row r="32" spans="1:8" x14ac:dyDescent="0.35">
      <c r="A32" s="4">
        <v>3.0099999999999998E-8</v>
      </c>
      <c r="B32" s="4">
        <v>6.2499999999999997E-8</v>
      </c>
      <c r="C32" s="4">
        <v>3.8099999999999998E-7</v>
      </c>
      <c r="D32" s="4">
        <v>6.5300000000000004E-7</v>
      </c>
      <c r="E32" s="4">
        <v>8.4E-7</v>
      </c>
      <c r="F32" s="4">
        <v>4.5600000000000004E-6</v>
      </c>
      <c r="G32" s="4">
        <v>8.85E-6</v>
      </c>
      <c r="H32" s="4">
        <v>1.6500000000000001E-5</v>
      </c>
    </row>
    <row r="33" spans="1:8" x14ac:dyDescent="0.35">
      <c r="A33" s="4">
        <v>3.1900000000000001E-8</v>
      </c>
      <c r="B33" s="4">
        <v>6.5900000000000001E-8</v>
      </c>
      <c r="C33" s="4">
        <v>3.89E-7</v>
      </c>
      <c r="D33" s="4">
        <v>6.61E-7</v>
      </c>
      <c r="E33" s="4">
        <v>8.4799999999999997E-7</v>
      </c>
      <c r="F33" s="4">
        <v>4.6E-6</v>
      </c>
      <c r="G33" s="4">
        <v>8.9800000000000004E-6</v>
      </c>
      <c r="H33" s="4">
        <v>1.6900000000000001E-5</v>
      </c>
    </row>
    <row r="34" spans="1:8" x14ac:dyDescent="0.35">
      <c r="A34" s="4">
        <v>3.3699999999999997E-8</v>
      </c>
      <c r="B34" s="4">
        <v>6.9100000000000003E-8</v>
      </c>
      <c r="C34" s="4">
        <v>3.96E-7</v>
      </c>
      <c r="D34" s="4">
        <v>6.68E-7</v>
      </c>
      <c r="E34" s="4">
        <v>8.5499999999999997E-7</v>
      </c>
      <c r="F34" s="4">
        <v>4.6299999999999997E-6</v>
      </c>
      <c r="G34" s="4">
        <v>9.0999999999999993E-6</v>
      </c>
      <c r="H34" s="4">
        <v>1.73E-5</v>
      </c>
    </row>
    <row r="35" spans="1:8" x14ac:dyDescent="0.35">
      <c r="A35" s="4">
        <v>3.5299999999999998E-8</v>
      </c>
      <c r="B35" s="4">
        <v>7.2199999999999998E-8</v>
      </c>
      <c r="C35" s="4">
        <v>4.0400000000000002E-7</v>
      </c>
      <c r="D35" s="4">
        <v>6.7599999999999997E-7</v>
      </c>
      <c r="E35" s="4">
        <v>8.6300000000000004E-7</v>
      </c>
      <c r="F35" s="4">
        <v>4.6600000000000003E-6</v>
      </c>
      <c r="G35" s="4">
        <v>9.2E-6</v>
      </c>
      <c r="H35" s="4">
        <v>1.7600000000000001E-5</v>
      </c>
    </row>
    <row r="36" spans="1:8" x14ac:dyDescent="0.35">
      <c r="A36" s="4">
        <v>3.69E-8</v>
      </c>
      <c r="B36" s="4">
        <v>7.4999999999999997E-8</v>
      </c>
      <c r="C36" s="4">
        <v>4.1100000000000001E-7</v>
      </c>
      <c r="D36" s="4">
        <v>6.8400000000000004E-7</v>
      </c>
      <c r="E36" s="4">
        <v>8.71E-7</v>
      </c>
      <c r="F36" s="4">
        <v>4.69E-6</v>
      </c>
      <c r="G36" s="4">
        <v>9.2900000000000008E-6</v>
      </c>
      <c r="H36" s="4">
        <v>1.7900000000000001E-5</v>
      </c>
    </row>
    <row r="37" spans="1:8" x14ac:dyDescent="0.35">
      <c r="A37" s="4">
        <v>3.84E-8</v>
      </c>
      <c r="B37" s="4">
        <v>7.7700000000000001E-8</v>
      </c>
      <c r="C37" s="4">
        <v>4.1899999999999998E-7</v>
      </c>
      <c r="D37" s="4">
        <v>6.92E-7</v>
      </c>
      <c r="E37" s="4">
        <v>8.7899999999999997E-7</v>
      </c>
      <c r="F37" s="4">
        <v>4.7099999999999998E-6</v>
      </c>
      <c r="G37" s="4">
        <v>9.3700000000000001E-6</v>
      </c>
      <c r="H37" s="4">
        <v>1.8099999999999999E-5</v>
      </c>
    </row>
    <row r="38" spans="1:8" x14ac:dyDescent="0.35">
      <c r="A38" s="4">
        <v>3.9699999999999998E-8</v>
      </c>
      <c r="B38" s="4">
        <v>8.0299999999999998E-8</v>
      </c>
      <c r="C38" s="4">
        <v>4.2599999999999998E-7</v>
      </c>
      <c r="D38" s="4">
        <v>6.9999999999999997E-7</v>
      </c>
      <c r="E38" s="4">
        <v>8.8700000000000004E-7</v>
      </c>
      <c r="F38" s="4">
        <v>4.7299999999999996E-6</v>
      </c>
      <c r="G38" s="4">
        <v>9.4299999999999995E-6</v>
      </c>
      <c r="H38" s="4">
        <v>1.84E-5</v>
      </c>
    </row>
    <row r="39" spans="1:8" x14ac:dyDescent="0.35">
      <c r="A39" s="4">
        <v>4.1000000000000003E-8</v>
      </c>
      <c r="B39" s="4">
        <v>8.2599999999999998E-8</v>
      </c>
      <c r="C39" s="4">
        <v>4.3300000000000003E-7</v>
      </c>
      <c r="D39" s="4">
        <v>7.0800000000000004E-7</v>
      </c>
      <c r="E39" s="4">
        <v>8.9500000000000001E-7</v>
      </c>
      <c r="F39" s="4">
        <v>4.7500000000000003E-6</v>
      </c>
      <c r="G39" s="4">
        <v>9.4900000000000006E-6</v>
      </c>
      <c r="H39" s="4">
        <v>1.8600000000000001E-5</v>
      </c>
    </row>
    <row r="40" spans="1:8" x14ac:dyDescent="0.35">
      <c r="A40" s="4">
        <v>4.21E-8</v>
      </c>
      <c r="B40" s="4">
        <v>8.4699999999999997E-8</v>
      </c>
      <c r="C40" s="4">
        <v>4.39E-7</v>
      </c>
      <c r="D40" s="4">
        <v>7.1600000000000001E-7</v>
      </c>
      <c r="E40" s="4">
        <v>9.0400000000000005E-7</v>
      </c>
      <c r="F40" s="4">
        <v>4.7700000000000001E-6</v>
      </c>
      <c r="G40" s="4">
        <v>9.5400000000000001E-6</v>
      </c>
      <c r="H40" s="4">
        <v>1.8700000000000001E-5</v>
      </c>
    </row>
    <row r="41" spans="1:8" x14ac:dyDescent="0.35">
      <c r="A41" s="4">
        <v>4.3100000000000002E-8</v>
      </c>
      <c r="B41" s="4">
        <v>8.6599999999999995E-8</v>
      </c>
      <c r="C41" s="4">
        <v>4.46E-7</v>
      </c>
      <c r="D41" s="4">
        <v>7.2399999999999997E-7</v>
      </c>
      <c r="E41" s="4">
        <v>9.1200000000000001E-7</v>
      </c>
      <c r="F41" s="4">
        <v>4.78E-6</v>
      </c>
      <c r="G41" s="4">
        <v>9.5899999999999997E-6</v>
      </c>
      <c r="H41" s="4">
        <v>1.8899999999999999E-5</v>
      </c>
    </row>
    <row r="42" spans="1:8" x14ac:dyDescent="0.35">
      <c r="A42" s="4">
        <v>4.3999999999999997E-8</v>
      </c>
      <c r="B42" s="4">
        <v>8.8399999999999997E-8</v>
      </c>
      <c r="C42" s="4">
        <v>4.5200000000000002E-7</v>
      </c>
      <c r="D42" s="4">
        <v>7.3099999999999997E-7</v>
      </c>
      <c r="E42" s="4">
        <v>9.1999999999999998E-7</v>
      </c>
      <c r="F42" s="4">
        <v>4.7999999999999998E-6</v>
      </c>
      <c r="G42" s="4">
        <v>9.6199999999999994E-6</v>
      </c>
      <c r="H42" s="4">
        <v>1.9000000000000001E-5</v>
      </c>
    </row>
    <row r="43" spans="1:8" x14ac:dyDescent="0.35">
      <c r="A43" s="4">
        <v>4.4799999999999997E-8</v>
      </c>
      <c r="B43" s="4">
        <v>8.9900000000000004E-8</v>
      </c>
      <c r="C43" s="4">
        <v>4.5699999999999998E-7</v>
      </c>
      <c r="D43" s="4">
        <v>7.3799999999999996E-7</v>
      </c>
      <c r="E43" s="4">
        <v>9.2800000000000005E-7</v>
      </c>
      <c r="F43" s="4">
        <v>4.8099999999999997E-6</v>
      </c>
      <c r="G43" s="4">
        <v>9.6600000000000007E-6</v>
      </c>
      <c r="H43" s="4">
        <v>1.91E-5</v>
      </c>
    </row>
    <row r="44" spans="1:8" x14ac:dyDescent="0.35">
      <c r="A44" s="4">
        <v>4.5599999999999998E-8</v>
      </c>
      <c r="B44" s="4">
        <v>9.1300000000000004E-8</v>
      </c>
      <c r="C44" s="4">
        <v>4.6199999999999998E-7</v>
      </c>
      <c r="D44" s="4">
        <v>7.4499999999999996E-7</v>
      </c>
      <c r="E44" s="4">
        <v>9.3500000000000005E-7</v>
      </c>
      <c r="F44" s="4">
        <v>4.8199999999999996E-6</v>
      </c>
      <c r="G44" s="4">
        <v>9.6900000000000004E-6</v>
      </c>
      <c r="H44" s="4">
        <v>1.9199999999999999E-5</v>
      </c>
    </row>
    <row r="45" spans="1:8" x14ac:dyDescent="0.35">
      <c r="A45" s="4">
        <v>4.6199999999999997E-8</v>
      </c>
      <c r="B45" s="4">
        <v>9.2500000000000001E-8</v>
      </c>
      <c r="C45" s="4">
        <v>4.6699999999999999E-7</v>
      </c>
      <c r="D45" s="4">
        <v>7.5099999999999999E-7</v>
      </c>
      <c r="E45" s="4">
        <v>9.4200000000000004E-7</v>
      </c>
      <c r="F45" s="4">
        <v>4.8400000000000002E-6</v>
      </c>
      <c r="G45" s="4">
        <v>9.7100000000000002E-6</v>
      </c>
      <c r="H45" s="4">
        <v>1.9300000000000002E-5</v>
      </c>
    </row>
    <row r="46" spans="1:8" x14ac:dyDescent="0.35">
      <c r="A46" s="4">
        <v>4.6800000000000002E-8</v>
      </c>
      <c r="B46" s="4">
        <v>9.3600000000000004E-8</v>
      </c>
      <c r="C46" s="4">
        <v>4.7100000000000002E-7</v>
      </c>
      <c r="D46" s="4">
        <v>7.5700000000000002E-7</v>
      </c>
      <c r="E46" s="4">
        <v>9.4900000000000004E-7</v>
      </c>
      <c r="F46" s="4">
        <v>4.8500000000000002E-6</v>
      </c>
      <c r="G46" s="4">
        <v>9.7399999999999999E-6</v>
      </c>
      <c r="H46" s="4">
        <v>1.9400000000000001E-5</v>
      </c>
    </row>
    <row r="47" spans="1:8" x14ac:dyDescent="0.35">
      <c r="A47" s="4">
        <v>4.9700000000000002E-8</v>
      </c>
      <c r="B47" s="4">
        <v>9.9400000000000003E-8</v>
      </c>
      <c r="C47" s="4"/>
      <c r="D47" s="4"/>
      <c r="F47" s="4"/>
      <c r="G47" s="4"/>
      <c r="H47" s="8">
        <v>2.0000000000000002E-5</v>
      </c>
    </row>
    <row r="48" spans="1:8" x14ac:dyDescent="0.35">
      <c r="A48" s="4">
        <v>4.9700000000000002E-8</v>
      </c>
      <c r="B48" s="4">
        <v>9.9499999999999998E-8</v>
      </c>
      <c r="C48" s="4"/>
      <c r="D48" s="4"/>
      <c r="F48" s="4"/>
      <c r="G48" s="4"/>
      <c r="H48" s="8">
        <v>2.0000000000000002E-5</v>
      </c>
    </row>
    <row r="49" spans="1:8" x14ac:dyDescent="0.35">
      <c r="A49" s="4">
        <v>4.9800000000000003E-8</v>
      </c>
      <c r="B49" s="4">
        <v>9.9499999999999998E-8</v>
      </c>
      <c r="C49" s="4"/>
      <c r="D49" s="4"/>
      <c r="F49" s="4"/>
      <c r="G49" s="4"/>
      <c r="H49" s="8">
        <v>2.0000000000000002E-5</v>
      </c>
    </row>
    <row r="50" spans="1:8" x14ac:dyDescent="0.35">
      <c r="A50" s="4">
        <v>4.9800000000000003E-8</v>
      </c>
      <c r="B50" s="4">
        <v>9.9600000000000005E-8</v>
      </c>
      <c r="C50" s="4"/>
      <c r="D50" s="4"/>
      <c r="F50" s="4"/>
      <c r="G50" s="4"/>
      <c r="H50" s="8">
        <v>2.0000000000000002E-5</v>
      </c>
    </row>
    <row r="51" spans="1:8" x14ac:dyDescent="0.35">
      <c r="A51" s="4">
        <v>4.9800000000000003E-8</v>
      </c>
      <c r="B51" s="4">
        <v>9.9600000000000005E-8</v>
      </c>
      <c r="C51" s="4"/>
      <c r="D51" s="4"/>
      <c r="F51" s="4"/>
      <c r="G51" s="4"/>
      <c r="H51" s="8">
        <v>2.0000000000000002E-5</v>
      </c>
    </row>
    <row r="52" spans="1:8" x14ac:dyDescent="0.35">
      <c r="A52" s="4">
        <v>4.9800000000000003E-8</v>
      </c>
      <c r="B52" s="4">
        <v>9.9600000000000005E-8</v>
      </c>
      <c r="C52" s="4"/>
      <c r="D52" s="4"/>
      <c r="F52" s="4"/>
      <c r="G52" s="4"/>
      <c r="H52" s="4">
        <v>2.0000000000000002E-5</v>
      </c>
    </row>
    <row r="53" spans="1:8" x14ac:dyDescent="0.35">
      <c r="A53" s="4">
        <v>4.9800000000000003E-8</v>
      </c>
      <c r="B53" s="4">
        <v>9.9600000000000005E-8</v>
      </c>
      <c r="C53" s="4"/>
      <c r="D53" s="4"/>
      <c r="F53" s="4"/>
      <c r="G53" s="4"/>
      <c r="H53" s="4">
        <v>2.0000000000000002E-5</v>
      </c>
    </row>
    <row r="54" spans="1:8" x14ac:dyDescent="0.35">
      <c r="A54" s="4">
        <v>4.9800000000000003E-8</v>
      </c>
      <c r="B54" s="4">
        <v>9.9600000000000005E-8</v>
      </c>
      <c r="C54" s="4"/>
      <c r="D54" s="4"/>
      <c r="F54" s="4"/>
      <c r="G54" s="4"/>
      <c r="H54" s="4">
        <v>2.0000000000000002E-5</v>
      </c>
    </row>
    <row r="55" spans="1:8" x14ac:dyDescent="0.35">
      <c r="A55" s="4">
        <v>4.9800000000000003E-8</v>
      </c>
      <c r="B55" s="4">
        <v>9.9600000000000005E-8</v>
      </c>
      <c r="C55" s="4"/>
      <c r="D55" s="4"/>
      <c r="F55" s="4"/>
      <c r="G55" s="4"/>
      <c r="H55" s="4">
        <v>2.0000000000000002E-5</v>
      </c>
    </row>
    <row r="56" spans="1:8" x14ac:dyDescent="0.35">
      <c r="A56" s="4">
        <v>4.9800000000000003E-8</v>
      </c>
      <c r="B56" s="4">
        <v>9.9600000000000005E-8</v>
      </c>
      <c r="C56" s="4"/>
      <c r="D56" s="4"/>
      <c r="F56" s="4"/>
      <c r="G56" s="4"/>
      <c r="H56" s="4">
        <v>2.0000000000000002E-5</v>
      </c>
    </row>
    <row r="57" spans="1:8" x14ac:dyDescent="0.35">
      <c r="A57" s="4">
        <v>4.9800000000000003E-8</v>
      </c>
      <c r="B57" s="4">
        <v>9.9600000000000005E-8</v>
      </c>
      <c r="C57" s="4"/>
      <c r="D57" s="4"/>
      <c r="F57" s="4"/>
      <c r="G57" s="4"/>
      <c r="H57" s="4">
        <v>2.0000000000000002E-5</v>
      </c>
    </row>
    <row r="58" spans="1:8" x14ac:dyDescent="0.35">
      <c r="A58" s="4">
        <v>4.9800000000000003E-8</v>
      </c>
      <c r="B58" s="4">
        <v>9.9600000000000005E-8</v>
      </c>
      <c r="C58" s="4"/>
      <c r="D58" s="4"/>
      <c r="F58" s="4"/>
      <c r="G58" s="4"/>
      <c r="H58" s="4">
        <v>2.0000000000000002E-5</v>
      </c>
    </row>
    <row r="59" spans="1:8" x14ac:dyDescent="0.35">
      <c r="A59" s="4">
        <v>4.9800000000000003E-8</v>
      </c>
      <c r="B59" s="4">
        <v>9.9600000000000005E-8</v>
      </c>
      <c r="C59" s="4"/>
      <c r="D59" s="4"/>
      <c r="F59" s="4"/>
      <c r="G59" s="4"/>
      <c r="H59" s="4">
        <v>2.0000000000000002E-5</v>
      </c>
    </row>
    <row r="60" spans="1:8" x14ac:dyDescent="0.35">
      <c r="A60" s="4">
        <v>4.9800000000000003E-8</v>
      </c>
      <c r="B60" s="4">
        <v>9.9600000000000005E-8</v>
      </c>
      <c r="C60" s="4"/>
      <c r="D60" s="4"/>
      <c r="F60" s="4"/>
      <c r="G60" s="4"/>
      <c r="H60" s="4">
        <v>2.0000000000000002E-5</v>
      </c>
    </row>
    <row r="61" spans="1:8" x14ac:dyDescent="0.35">
      <c r="A61" s="4">
        <v>4.9800000000000003E-8</v>
      </c>
      <c r="B61" s="4">
        <v>9.9600000000000005E-8</v>
      </c>
      <c r="C61" s="4"/>
      <c r="D61" s="4"/>
      <c r="F61" s="4"/>
      <c r="G61" s="4"/>
      <c r="H61" s="4">
        <v>2.0000000000000002E-5</v>
      </c>
    </row>
    <row r="62" spans="1:8" x14ac:dyDescent="0.35">
      <c r="A62" s="4">
        <v>4.9800000000000003E-8</v>
      </c>
      <c r="B62" s="4">
        <v>9.9600000000000005E-8</v>
      </c>
      <c r="C62" s="4"/>
      <c r="D62" s="4"/>
      <c r="F62" s="4"/>
      <c r="G62" s="4"/>
      <c r="H62" s="4">
        <v>2.0000000000000002E-5</v>
      </c>
    </row>
    <row r="63" spans="1:8" x14ac:dyDescent="0.35">
      <c r="A63" s="4">
        <v>4.9800000000000003E-8</v>
      </c>
      <c r="B63" s="4">
        <v>9.9600000000000005E-8</v>
      </c>
      <c r="C63" s="4"/>
      <c r="D63" s="4"/>
      <c r="F63" s="4"/>
      <c r="G63" s="4"/>
      <c r="H63" s="4">
        <v>2.0000000000000002E-5</v>
      </c>
    </row>
    <row r="64" spans="1:8" x14ac:dyDescent="0.35">
      <c r="A64" s="4">
        <v>4.9800000000000003E-8</v>
      </c>
      <c r="B64" s="4">
        <v>9.9600000000000005E-8</v>
      </c>
      <c r="C64" s="4"/>
      <c r="D64" s="4"/>
      <c r="F64" s="4"/>
      <c r="G64" s="4"/>
      <c r="H64" s="4">
        <v>2.0000000000000002E-5</v>
      </c>
    </row>
    <row r="65" spans="1:8" x14ac:dyDescent="0.35">
      <c r="A65" s="4">
        <v>4.9800000000000003E-8</v>
      </c>
      <c r="B65" s="4">
        <v>9.9600000000000005E-8</v>
      </c>
      <c r="C65" s="4"/>
      <c r="D65" s="4"/>
      <c r="F65" s="4"/>
      <c r="G65" s="4"/>
      <c r="H65" s="4">
        <v>2.0000000000000002E-5</v>
      </c>
    </row>
    <row r="66" spans="1:8" x14ac:dyDescent="0.35">
      <c r="A66" s="4">
        <v>4.9800000000000003E-8</v>
      </c>
      <c r="B66" s="4">
        <v>9.9600000000000005E-8</v>
      </c>
      <c r="C66" s="4"/>
      <c r="D66" s="4"/>
      <c r="F66" s="4"/>
      <c r="G66" s="4"/>
      <c r="H66" s="4">
        <v>2.0000000000000002E-5</v>
      </c>
    </row>
    <row r="67" spans="1:8" x14ac:dyDescent="0.35">
      <c r="A67" s="4">
        <v>4.9800000000000003E-8</v>
      </c>
      <c r="B67" s="4">
        <v>9.9600000000000005E-8</v>
      </c>
      <c r="C67" s="4"/>
      <c r="D67" s="4"/>
      <c r="F67" s="4"/>
      <c r="G67" s="4"/>
      <c r="H67" s="4">
        <v>2.0000000000000002E-5</v>
      </c>
    </row>
    <row r="68" spans="1:8" x14ac:dyDescent="0.35">
      <c r="A68" s="4">
        <v>4.9800000000000003E-8</v>
      </c>
      <c r="B68" s="4">
        <v>9.9600000000000005E-8</v>
      </c>
      <c r="C68" s="4"/>
      <c r="D68" s="4"/>
      <c r="F68" s="4"/>
      <c r="G68" s="4"/>
      <c r="H68" s="4">
        <v>2.0000000000000002E-5</v>
      </c>
    </row>
    <row r="69" spans="1:8" x14ac:dyDescent="0.35">
      <c r="A69" s="4">
        <v>4.9800000000000003E-8</v>
      </c>
      <c r="B69" s="4">
        <v>9.9600000000000005E-8</v>
      </c>
      <c r="C69" s="4"/>
      <c r="D69" s="4"/>
      <c r="F69" s="4"/>
      <c r="G69" s="4"/>
      <c r="H69" s="4">
        <v>2.0000000000000002E-5</v>
      </c>
    </row>
    <row r="70" spans="1:8" x14ac:dyDescent="0.35">
      <c r="A70" s="4">
        <v>4.9800000000000003E-8</v>
      </c>
      <c r="B70" s="4">
        <v>9.9600000000000005E-8</v>
      </c>
      <c r="C70" s="4"/>
      <c r="D70" s="4"/>
      <c r="F70" s="4"/>
      <c r="G70" s="4"/>
      <c r="H70" s="4">
        <v>2.0000000000000002E-5</v>
      </c>
    </row>
    <row r="71" spans="1:8" x14ac:dyDescent="0.35">
      <c r="A71" s="4">
        <v>4.9800000000000003E-8</v>
      </c>
      <c r="B71" s="4">
        <v>9.9600000000000005E-8</v>
      </c>
      <c r="C71" s="4"/>
      <c r="D71" s="4"/>
      <c r="F71" s="4"/>
      <c r="G71" s="4"/>
      <c r="H71" s="4">
        <v>2.0000000000000002E-5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B46A-EEF8-4E2B-9E5D-2C7C572828F4}">
  <dimension ref="A1:H51"/>
  <sheetViews>
    <sheetView topLeftCell="A21" workbookViewId="0">
      <selection activeCell="K1" sqref="H1:K1048576"/>
    </sheetView>
  </sheetViews>
  <sheetFormatPr defaultRowHeight="14.5" x14ac:dyDescent="0.35"/>
  <sheetData>
    <row r="1" spans="1:8" x14ac:dyDescent="0.35">
      <c r="A1" s="4">
        <v>1.4999999999999999E-7</v>
      </c>
      <c r="B1" s="4">
        <v>1.01E-7</v>
      </c>
      <c r="C1" s="4">
        <v>7.19E-10</v>
      </c>
      <c r="D1" s="4">
        <v>4.5399999999999998E-10</v>
      </c>
      <c r="E1" s="4">
        <v>3.7899999999999998E-10</v>
      </c>
      <c r="F1" s="4">
        <v>1.34E-10</v>
      </c>
      <c r="G1" s="4">
        <v>9.0600000000000002E-11</v>
      </c>
      <c r="H1" s="4">
        <v>6.2399999999999999E-11</v>
      </c>
    </row>
    <row r="2" spans="1:8" x14ac:dyDescent="0.35">
      <c r="A2" s="4">
        <v>1.4999999999999999E-7</v>
      </c>
      <c r="B2" s="4">
        <v>1.01E-7</v>
      </c>
      <c r="C2" s="4">
        <v>8.69E-10</v>
      </c>
      <c r="D2" s="4">
        <v>5.4299999999999999E-10</v>
      </c>
      <c r="E2" s="4">
        <v>4.5199999999999999E-10</v>
      </c>
      <c r="F2" s="4">
        <v>1.57E-10</v>
      </c>
      <c r="G2" s="4">
        <v>1.06E-10</v>
      </c>
      <c r="H2" s="4">
        <v>7.2799999999999997E-11</v>
      </c>
    </row>
    <row r="3" spans="1:8" x14ac:dyDescent="0.35">
      <c r="A3" s="4">
        <v>1.4999999999999999E-7</v>
      </c>
      <c r="B3" s="4">
        <v>1.01E-7</v>
      </c>
      <c r="C3" s="4">
        <v>1.0500000000000001E-9</v>
      </c>
      <c r="D3" s="4">
        <v>6.4800000000000004E-10</v>
      </c>
      <c r="E3" s="4">
        <v>5.3700000000000001E-10</v>
      </c>
      <c r="F3" s="4">
        <v>1.8299999999999999E-10</v>
      </c>
      <c r="G3" s="4">
        <v>1.2400000000000001E-10</v>
      </c>
      <c r="H3" s="4">
        <v>8.4599999999999997E-11</v>
      </c>
    </row>
    <row r="4" spans="1:8" x14ac:dyDescent="0.35">
      <c r="A4" s="4">
        <v>1.4999999999999999E-7</v>
      </c>
      <c r="B4" s="4">
        <v>1.01E-7</v>
      </c>
      <c r="C4" s="4">
        <v>1.26E-9</v>
      </c>
      <c r="D4" s="4">
        <v>7.7200000000000002E-10</v>
      </c>
      <c r="E4" s="4">
        <v>6.3599999999999998E-10</v>
      </c>
      <c r="F4" s="4">
        <v>2.1299999999999999E-10</v>
      </c>
      <c r="G4" s="4">
        <v>1.43E-10</v>
      </c>
      <c r="H4" s="4">
        <v>9.7900000000000006E-11</v>
      </c>
    </row>
    <row r="5" spans="1:8" x14ac:dyDescent="0.35">
      <c r="A5" s="4">
        <v>1.5099999999999999E-7</v>
      </c>
      <c r="B5" s="4">
        <v>1.02E-7</v>
      </c>
      <c r="C5" s="4">
        <v>1.51E-9</v>
      </c>
      <c r="D5" s="4">
        <v>9.1600000000000004E-10</v>
      </c>
      <c r="E5" s="4">
        <v>7.5199999999999999E-10</v>
      </c>
      <c r="F5" s="4">
        <v>2.4800000000000002E-10</v>
      </c>
      <c r="G5" s="4">
        <v>1.66E-10</v>
      </c>
      <c r="H5" s="4">
        <v>1.13E-10</v>
      </c>
    </row>
    <row r="6" spans="1:8" x14ac:dyDescent="0.35">
      <c r="A6" s="4">
        <v>1.5099999999999999E-7</v>
      </c>
      <c r="B6" s="4">
        <v>1.02E-7</v>
      </c>
      <c r="C6" s="4">
        <v>1.8199999999999999E-9</v>
      </c>
      <c r="D6" s="4">
        <v>1.09E-9</v>
      </c>
      <c r="E6" s="4">
        <v>8.8800000000000004E-10</v>
      </c>
      <c r="F6" s="4">
        <v>2.8599999999999999E-10</v>
      </c>
      <c r="G6" s="4">
        <v>1.9100000000000001E-10</v>
      </c>
      <c r="H6" s="4">
        <v>1.2899999999999999E-10</v>
      </c>
    </row>
    <row r="7" spans="1:8" x14ac:dyDescent="0.35">
      <c r="A7" s="4">
        <v>1.5099999999999999E-7</v>
      </c>
      <c r="B7" s="4">
        <v>1.02E-7</v>
      </c>
      <c r="C7" s="4">
        <v>2.1799999999999999E-9</v>
      </c>
      <c r="D7" s="4">
        <v>1.2900000000000001E-9</v>
      </c>
      <c r="E7" s="4">
        <v>1.0500000000000001E-9</v>
      </c>
      <c r="F7" s="4">
        <v>3.3E-10</v>
      </c>
      <c r="G7" s="4">
        <v>2.1899999999999999E-10</v>
      </c>
      <c r="H7" s="4">
        <v>1.4800000000000001E-10</v>
      </c>
    </row>
    <row r="8" spans="1:8" x14ac:dyDescent="0.35">
      <c r="A8" s="4">
        <v>1.5099999999999999E-7</v>
      </c>
      <c r="B8" s="4">
        <v>1.03E-7</v>
      </c>
      <c r="C8" s="4">
        <v>2.6000000000000001E-9</v>
      </c>
      <c r="D8" s="4">
        <v>1.5199999999999999E-9</v>
      </c>
      <c r="E8" s="4">
        <v>1.2300000000000001E-9</v>
      </c>
      <c r="F8" s="4">
        <v>3.7999999999999998E-10</v>
      </c>
      <c r="G8" s="4">
        <v>2.5000000000000002E-10</v>
      </c>
      <c r="H8" s="4">
        <v>1.6799999999999999E-10</v>
      </c>
    </row>
    <row r="9" spans="1:8" x14ac:dyDescent="0.35">
      <c r="A9" s="4">
        <v>1.5099999999999999E-7</v>
      </c>
      <c r="B9" s="4">
        <v>1.04E-7</v>
      </c>
      <c r="C9" s="4">
        <v>3.1099999999999998E-9</v>
      </c>
      <c r="D9" s="4">
        <v>1.8E-9</v>
      </c>
      <c r="E9" s="4">
        <v>1.45E-9</v>
      </c>
      <c r="F9" s="4">
        <v>4.3599999999999999E-10</v>
      </c>
      <c r="G9" s="4">
        <v>2.85E-10</v>
      </c>
      <c r="H9" s="4">
        <v>1.9100000000000001E-10</v>
      </c>
    </row>
    <row r="10" spans="1:8" x14ac:dyDescent="0.35">
      <c r="A10" s="4">
        <v>1.5200000000000001E-7</v>
      </c>
      <c r="B10" s="4">
        <v>1.04E-7</v>
      </c>
      <c r="C10" s="4">
        <v>3.72E-9</v>
      </c>
      <c r="D10" s="4">
        <v>2.1299999999999999E-9</v>
      </c>
      <c r="E10" s="4">
        <v>1.7100000000000001E-9</v>
      </c>
      <c r="F10" s="4">
        <v>5.0000000000000003E-10</v>
      </c>
      <c r="G10" s="4">
        <v>3.2500000000000002E-10</v>
      </c>
      <c r="H10" s="4">
        <v>2.17E-10</v>
      </c>
    </row>
    <row r="11" spans="1:8" x14ac:dyDescent="0.35">
      <c r="A11" s="4">
        <v>1.5200000000000001E-7</v>
      </c>
      <c r="B11" s="4">
        <v>1.05E-7</v>
      </c>
      <c r="C11" s="4">
        <v>4.4299999999999998E-9</v>
      </c>
      <c r="D11" s="4">
        <v>2.52E-9</v>
      </c>
      <c r="E11" s="4">
        <v>2.0099999999999999E-9</v>
      </c>
      <c r="F11" s="4">
        <v>5.7199999999999999E-10</v>
      </c>
      <c r="G11" s="4">
        <v>3.6900000000000002E-10</v>
      </c>
      <c r="H11" s="4">
        <v>2.4499999999999998E-10</v>
      </c>
    </row>
    <row r="12" spans="1:8" x14ac:dyDescent="0.35">
      <c r="A12" s="4">
        <v>1.5200000000000001E-7</v>
      </c>
      <c r="B12" s="4">
        <v>1.06E-7</v>
      </c>
      <c r="C12" s="4">
        <v>5.28E-9</v>
      </c>
      <c r="D12" s="4">
        <v>2.9699999999999999E-9</v>
      </c>
      <c r="E12" s="4">
        <v>2.3600000000000001E-9</v>
      </c>
      <c r="F12" s="4">
        <v>6.5400000000000002E-10</v>
      </c>
      <c r="G12" s="4">
        <v>4.19E-10</v>
      </c>
      <c r="H12" s="4">
        <v>2.7599999999999998E-10</v>
      </c>
    </row>
    <row r="13" spans="1:8" x14ac:dyDescent="0.35">
      <c r="A13" s="4">
        <v>1.5300000000000001E-7</v>
      </c>
      <c r="B13" s="4">
        <v>1.08E-7</v>
      </c>
      <c r="C13" s="4">
        <v>6.2799999999999998E-9</v>
      </c>
      <c r="D13" s="4">
        <v>3.5100000000000001E-9</v>
      </c>
      <c r="E13" s="4">
        <v>2.7799999999999999E-9</v>
      </c>
      <c r="F13" s="4">
        <v>7.48E-10</v>
      </c>
      <c r="G13" s="4">
        <v>4.7400000000000002E-10</v>
      </c>
      <c r="H13" s="4">
        <v>3.1100000000000001E-10</v>
      </c>
    </row>
    <row r="14" spans="1:8" x14ac:dyDescent="0.35">
      <c r="A14" s="4">
        <v>1.5300000000000001E-7</v>
      </c>
      <c r="B14" s="4">
        <v>1.09E-7</v>
      </c>
      <c r="C14" s="4">
        <v>7.4499999999999997E-9</v>
      </c>
      <c r="D14" s="4">
        <v>4.1499999999999999E-9</v>
      </c>
      <c r="E14" s="4">
        <v>3.2700000000000001E-9</v>
      </c>
      <c r="F14" s="4">
        <v>8.5500000000000005E-10</v>
      </c>
      <c r="G14" s="4">
        <v>5.3700000000000001E-10</v>
      </c>
      <c r="H14" s="4">
        <v>3.4999999999999998E-10</v>
      </c>
    </row>
    <row r="15" spans="1:8" x14ac:dyDescent="0.35">
      <c r="A15" s="4">
        <v>1.54E-7</v>
      </c>
      <c r="B15" s="4">
        <v>1.11E-7</v>
      </c>
      <c r="C15" s="4">
        <v>8.8300000000000003E-9</v>
      </c>
      <c r="D15" s="4">
        <v>4.9E-9</v>
      </c>
      <c r="E15" s="4">
        <v>3.8499999999999997E-9</v>
      </c>
      <c r="F15" s="4">
        <v>9.7700000000000004E-10</v>
      </c>
      <c r="G15" s="4">
        <v>6.0799999999999997E-10</v>
      </c>
      <c r="H15" s="4">
        <v>3.9399999999999998E-10</v>
      </c>
    </row>
    <row r="16" spans="1:8" x14ac:dyDescent="0.35">
      <c r="A16" s="4">
        <v>1.55E-7</v>
      </c>
      <c r="B16" s="4">
        <v>1.12E-7</v>
      </c>
      <c r="C16" s="4">
        <v>1.04E-8</v>
      </c>
      <c r="D16" s="4">
        <v>5.7800000000000003E-9</v>
      </c>
      <c r="E16" s="4">
        <v>4.5299999999999999E-9</v>
      </c>
      <c r="F16" s="4">
        <v>1.1200000000000001E-9</v>
      </c>
      <c r="G16" s="4">
        <v>6.89E-10</v>
      </c>
      <c r="H16" s="4">
        <v>4.4200000000000002E-10</v>
      </c>
    </row>
    <row r="17" spans="1:8" x14ac:dyDescent="0.35">
      <c r="A17" s="4">
        <v>1.5599999999999999E-7</v>
      </c>
      <c r="B17" s="4">
        <v>1.14E-7</v>
      </c>
      <c r="C17" s="4">
        <v>1.2299999999999999E-8</v>
      </c>
      <c r="D17" s="4">
        <v>6.82E-9</v>
      </c>
      <c r="E17" s="4">
        <v>5.3300000000000004E-9</v>
      </c>
      <c r="F17" s="4">
        <v>1.2799999999999999E-9</v>
      </c>
      <c r="G17" s="4">
        <v>7.7999999999999999E-10</v>
      </c>
      <c r="H17" s="4">
        <v>4.9700000000000004E-10</v>
      </c>
    </row>
    <row r="18" spans="1:8" x14ac:dyDescent="0.35">
      <c r="A18" s="4">
        <v>1.5599999999999999E-7</v>
      </c>
      <c r="B18" s="4">
        <v>1.17E-7</v>
      </c>
      <c r="C18" s="4">
        <v>1.44E-8</v>
      </c>
      <c r="D18" s="4">
        <v>8.0399999999999995E-9</v>
      </c>
      <c r="E18" s="4">
        <v>6.2700000000000001E-9</v>
      </c>
      <c r="F18" s="4">
        <v>1.4700000000000001E-9</v>
      </c>
      <c r="G18" s="4">
        <v>8.8400000000000005E-10</v>
      </c>
      <c r="H18" s="4">
        <v>5.5800000000000004E-10</v>
      </c>
    </row>
    <row r="19" spans="1:8" x14ac:dyDescent="0.35">
      <c r="A19" s="4">
        <v>1.5800000000000001E-7</v>
      </c>
      <c r="B19" s="4">
        <v>1.1899999999999999E-7</v>
      </c>
      <c r="C19" s="4">
        <v>1.6899999999999999E-8</v>
      </c>
      <c r="D19" s="4">
        <v>9.46E-9</v>
      </c>
      <c r="E19" s="4">
        <v>7.37E-9</v>
      </c>
      <c r="F19" s="4">
        <v>1.68E-9</v>
      </c>
      <c r="G19" s="4">
        <v>1.0000000000000001E-9</v>
      </c>
      <c r="H19" s="4">
        <v>6.2700000000000001E-10</v>
      </c>
    </row>
    <row r="20" spans="1:8" x14ac:dyDescent="0.35">
      <c r="A20" s="4">
        <v>1.5900000000000001E-7</v>
      </c>
      <c r="B20" s="4">
        <v>1.2200000000000001E-7</v>
      </c>
      <c r="C20" s="4">
        <v>1.9700000000000001E-8</v>
      </c>
      <c r="D20" s="4">
        <v>1.11E-8</v>
      </c>
      <c r="E20" s="4">
        <v>8.6599999999999995E-9</v>
      </c>
      <c r="F20" s="4">
        <v>1.9300000000000002E-9</v>
      </c>
      <c r="G20" s="4">
        <v>1.14E-9</v>
      </c>
      <c r="H20" s="4">
        <v>7.0500000000000005E-10</v>
      </c>
    </row>
    <row r="21" spans="1:8" x14ac:dyDescent="0.35">
      <c r="A21" s="4">
        <v>1.6E-7</v>
      </c>
      <c r="B21" s="4">
        <v>1.2499999999999999E-7</v>
      </c>
      <c r="C21" s="4">
        <v>2.29E-8</v>
      </c>
      <c r="D21" s="4">
        <v>1.3000000000000001E-8</v>
      </c>
      <c r="E21" s="4">
        <v>1.02E-8</v>
      </c>
      <c r="F21" s="4">
        <v>2.23E-9</v>
      </c>
      <c r="G21" s="4">
        <v>1.3000000000000001E-9</v>
      </c>
      <c r="H21" s="4">
        <v>7.9299999999999995E-10</v>
      </c>
    </row>
    <row r="22" spans="1:8" x14ac:dyDescent="0.35">
      <c r="A22" s="4">
        <v>1.6199999999999999E-7</v>
      </c>
      <c r="B22" s="4">
        <v>1.2800000000000001E-7</v>
      </c>
      <c r="C22" s="4">
        <v>2.6400000000000001E-8</v>
      </c>
      <c r="D22" s="4">
        <v>1.52E-8</v>
      </c>
      <c r="E22" s="4">
        <v>1.1900000000000001E-8</v>
      </c>
      <c r="F22" s="4">
        <v>2.57E-9</v>
      </c>
      <c r="G22" s="4">
        <v>1.4800000000000001E-9</v>
      </c>
      <c r="H22" s="4">
        <v>8.9300000000000002E-10</v>
      </c>
    </row>
    <row r="23" spans="1:8" x14ac:dyDescent="0.35">
      <c r="A23" s="4">
        <v>1.6299999999999999E-7</v>
      </c>
      <c r="B23" s="4">
        <v>1.31E-7</v>
      </c>
      <c r="C23" s="4">
        <v>3.0400000000000001E-8</v>
      </c>
      <c r="D23" s="4">
        <v>1.7800000000000001E-8</v>
      </c>
      <c r="E23" s="4">
        <v>1.39E-8</v>
      </c>
      <c r="F23" s="4">
        <v>2.9600000000000001E-9</v>
      </c>
      <c r="G23" s="4">
        <v>1.68E-9</v>
      </c>
      <c r="H23" s="4">
        <v>1.01E-9</v>
      </c>
    </row>
    <row r="24" spans="1:8" x14ac:dyDescent="0.35">
      <c r="A24" s="4">
        <v>1.6500000000000001E-7</v>
      </c>
      <c r="B24" s="4">
        <v>1.3400000000000001E-7</v>
      </c>
      <c r="C24" s="4">
        <v>3.4800000000000001E-8</v>
      </c>
      <c r="D24" s="4">
        <v>2.0599999999999999E-8</v>
      </c>
      <c r="E24" s="4">
        <v>1.6199999999999999E-8</v>
      </c>
      <c r="F24" s="4">
        <v>3.4299999999999999E-9</v>
      </c>
      <c r="G24" s="4">
        <v>1.92E-9</v>
      </c>
      <c r="H24" s="4">
        <v>1.14E-9</v>
      </c>
    </row>
    <row r="25" spans="1:8" x14ac:dyDescent="0.35">
      <c r="A25" s="4">
        <v>1.67E-7</v>
      </c>
      <c r="B25" s="4">
        <v>1.3799999999999999E-7</v>
      </c>
      <c r="C25" s="4">
        <v>3.9500000000000003E-8</v>
      </c>
      <c r="D25" s="4">
        <v>2.3899999999999999E-8</v>
      </c>
      <c r="E25" s="4">
        <v>1.89E-8</v>
      </c>
      <c r="F25" s="4">
        <v>3.9700000000000001E-9</v>
      </c>
      <c r="G25" s="4">
        <v>2.1999999999999998E-9</v>
      </c>
      <c r="H25" s="4">
        <v>1.2900000000000001E-9</v>
      </c>
    </row>
    <row r="26" spans="1:8" x14ac:dyDescent="0.35">
      <c r="A26" s="4">
        <v>1.68E-7</v>
      </c>
      <c r="B26" s="4">
        <v>1.4100000000000001E-7</v>
      </c>
      <c r="C26" s="4">
        <v>4.4700000000000003E-8</v>
      </c>
      <c r="D26" s="4">
        <v>2.7599999999999999E-8</v>
      </c>
      <c r="E26" s="4">
        <v>2.1900000000000001E-8</v>
      </c>
      <c r="F26" s="4">
        <v>4.5999999999999998E-9</v>
      </c>
      <c r="G26" s="4">
        <v>2.5300000000000002E-9</v>
      </c>
      <c r="H26" s="4">
        <v>1.4599999999999999E-9</v>
      </c>
    </row>
    <row r="27" spans="1:8" x14ac:dyDescent="0.35">
      <c r="A27" s="4">
        <v>1.6999999999999999E-7</v>
      </c>
      <c r="B27" s="4">
        <v>1.4499999999999999E-7</v>
      </c>
      <c r="C27" s="4">
        <v>5.03E-8</v>
      </c>
      <c r="D27" s="4">
        <v>3.1699999999999999E-8</v>
      </c>
      <c r="E27" s="4">
        <v>2.5300000000000002E-8</v>
      </c>
      <c r="F27" s="4">
        <v>5.3300000000000004E-9</v>
      </c>
      <c r="G27" s="4">
        <v>2.8999999999999999E-9</v>
      </c>
      <c r="H27" s="4">
        <v>1.6600000000000001E-9</v>
      </c>
    </row>
    <row r="28" spans="1:8" x14ac:dyDescent="0.35">
      <c r="A28" s="4">
        <v>1.72E-7</v>
      </c>
      <c r="B28" s="4">
        <v>1.48E-7</v>
      </c>
      <c r="C28" s="4">
        <v>5.6300000000000001E-8</v>
      </c>
      <c r="D28" s="4">
        <v>3.62E-8</v>
      </c>
      <c r="E28" s="4">
        <v>2.9099999999999999E-8</v>
      </c>
      <c r="F28" s="4">
        <v>6.1900000000000003E-9</v>
      </c>
      <c r="G28" s="4">
        <v>3.34E-9</v>
      </c>
      <c r="H28" s="4">
        <v>1.8899999999999999E-9</v>
      </c>
    </row>
    <row r="29" spans="1:8" x14ac:dyDescent="0.35">
      <c r="A29" s="4">
        <v>1.74E-7</v>
      </c>
      <c r="B29" s="4">
        <v>1.5200000000000001E-7</v>
      </c>
      <c r="C29" s="4">
        <v>6.2600000000000005E-8</v>
      </c>
      <c r="D29" s="4">
        <v>4.1199999999999998E-8</v>
      </c>
      <c r="E29" s="4">
        <v>3.3400000000000001E-8</v>
      </c>
      <c r="F29" s="4">
        <v>7.1900000000000002E-9</v>
      </c>
      <c r="G29" s="4">
        <v>3.8499999999999997E-9</v>
      </c>
      <c r="H29" s="4">
        <v>2.1499999999999998E-9</v>
      </c>
    </row>
    <row r="30" spans="1:8" x14ac:dyDescent="0.35">
      <c r="A30" s="4">
        <v>1.7599999999999999E-7</v>
      </c>
      <c r="B30" s="4">
        <v>1.5599999999999999E-7</v>
      </c>
      <c r="C30" s="4">
        <v>6.9199999999999998E-8</v>
      </c>
      <c r="D30" s="4">
        <v>4.66E-8</v>
      </c>
      <c r="E30" s="4">
        <v>3.8099999999999997E-8</v>
      </c>
      <c r="F30" s="4">
        <v>8.3400000000000006E-9</v>
      </c>
      <c r="G30" s="4">
        <v>4.4500000000000001E-9</v>
      </c>
      <c r="H30" s="4">
        <v>2.4600000000000002E-9</v>
      </c>
    </row>
    <row r="31" spans="1:8" x14ac:dyDescent="0.35">
      <c r="A31" s="4">
        <v>1.7800000000000001E-7</v>
      </c>
      <c r="B31" s="4">
        <v>1.5900000000000001E-7</v>
      </c>
      <c r="C31" s="4">
        <v>7.61E-8</v>
      </c>
      <c r="D31" s="4">
        <v>5.25E-8</v>
      </c>
      <c r="E31" s="4">
        <v>4.3200000000000003E-8</v>
      </c>
      <c r="F31" s="4">
        <v>9.6899999999999994E-9</v>
      </c>
      <c r="G31" s="4">
        <v>5.14E-9</v>
      </c>
      <c r="H31" s="4">
        <v>2.8200000000000002E-9</v>
      </c>
    </row>
    <row r="32" spans="1:8" x14ac:dyDescent="0.35">
      <c r="A32" s="4">
        <v>1.8E-7</v>
      </c>
      <c r="B32" s="4">
        <v>1.6299999999999999E-7</v>
      </c>
      <c r="C32" s="4">
        <v>8.3200000000000004E-8</v>
      </c>
      <c r="D32" s="4">
        <v>5.8700000000000003E-8</v>
      </c>
      <c r="E32" s="4">
        <v>4.8900000000000001E-8</v>
      </c>
      <c r="F32" s="4">
        <v>1.1199999999999999E-8</v>
      </c>
      <c r="G32" s="4">
        <v>5.9500000000000003E-9</v>
      </c>
      <c r="H32" s="4">
        <v>3.24E-9</v>
      </c>
    </row>
    <row r="33" spans="1:8" x14ac:dyDescent="0.35">
      <c r="A33" s="4">
        <v>1.8199999999999999E-7</v>
      </c>
      <c r="B33" s="4">
        <v>1.66E-7</v>
      </c>
      <c r="C33" s="4">
        <v>9.0400000000000002E-8</v>
      </c>
      <c r="D33" s="4">
        <v>6.5400000000000003E-8</v>
      </c>
      <c r="E33" s="4">
        <v>5.4900000000000002E-8</v>
      </c>
      <c r="F33" s="4">
        <v>1.3000000000000001E-8</v>
      </c>
      <c r="G33" s="4">
        <v>6.89E-9</v>
      </c>
      <c r="H33" s="4">
        <v>3.72E-9</v>
      </c>
    </row>
    <row r="34" spans="1:8" x14ac:dyDescent="0.35">
      <c r="A34" s="4">
        <v>1.8400000000000001E-7</v>
      </c>
      <c r="B34" s="4">
        <v>1.6899999999999999E-7</v>
      </c>
      <c r="C34" s="4">
        <v>9.7699999999999995E-8</v>
      </c>
      <c r="D34" s="4">
        <v>7.2300000000000006E-8</v>
      </c>
      <c r="E34" s="4">
        <v>6.1399999999999994E-8</v>
      </c>
      <c r="F34" s="4">
        <v>1.51E-8</v>
      </c>
      <c r="G34" s="4">
        <v>7.9799999999999993E-9</v>
      </c>
      <c r="H34" s="4">
        <v>4.2899999999999999E-9</v>
      </c>
    </row>
    <row r="35" spans="1:8" x14ac:dyDescent="0.35">
      <c r="A35" s="4">
        <v>1.85E-7</v>
      </c>
      <c r="B35" s="4">
        <v>1.72E-7</v>
      </c>
      <c r="C35" s="4">
        <v>1.05E-7</v>
      </c>
      <c r="D35" s="4">
        <v>7.9599999999999998E-8</v>
      </c>
      <c r="E35" s="4">
        <v>6.8200000000000002E-8</v>
      </c>
      <c r="F35" s="4">
        <v>1.7500000000000001E-8</v>
      </c>
      <c r="G35" s="4">
        <v>9.2500000000000001E-9</v>
      </c>
      <c r="H35" s="4">
        <v>4.9499999999999997E-9</v>
      </c>
    </row>
    <row r="36" spans="1:8" x14ac:dyDescent="0.35">
      <c r="A36" s="4">
        <v>1.8699999999999999E-7</v>
      </c>
      <c r="B36" s="4">
        <v>1.7499999999999999E-7</v>
      </c>
      <c r="C36" s="4">
        <v>1.12E-7</v>
      </c>
      <c r="D36" s="4">
        <v>8.6999999999999998E-8</v>
      </c>
      <c r="E36" s="4">
        <v>7.54E-8</v>
      </c>
      <c r="F36" s="4">
        <v>2.0199999999999999E-8</v>
      </c>
      <c r="G36" s="4">
        <v>1.07E-8</v>
      </c>
      <c r="H36" s="4">
        <v>5.7200000000000001E-9</v>
      </c>
    </row>
    <row r="37" spans="1:8" x14ac:dyDescent="0.35">
      <c r="A37" s="4">
        <v>1.8799999999999999E-7</v>
      </c>
      <c r="B37" s="4">
        <v>1.7800000000000001E-7</v>
      </c>
      <c r="C37" s="4">
        <v>1.1999999999999999E-7</v>
      </c>
      <c r="D37" s="4">
        <v>9.46E-8</v>
      </c>
      <c r="E37" s="4">
        <v>8.2899999999999995E-8</v>
      </c>
      <c r="F37" s="4">
        <v>2.33E-8</v>
      </c>
      <c r="G37" s="4">
        <v>1.24E-8</v>
      </c>
      <c r="H37" s="4">
        <v>6.6199999999999999E-9</v>
      </c>
    </row>
    <row r="38" spans="1:8" x14ac:dyDescent="0.35">
      <c r="A38" s="4">
        <v>1.9000000000000001E-7</v>
      </c>
      <c r="B38" s="4">
        <v>1.8E-7</v>
      </c>
      <c r="C38" s="4">
        <v>1.2700000000000001E-7</v>
      </c>
      <c r="D38" s="4">
        <v>1.02E-7</v>
      </c>
      <c r="E38" s="4">
        <v>9.0499999999999996E-8</v>
      </c>
      <c r="F38" s="4">
        <v>2.6799999999999998E-8</v>
      </c>
      <c r="G38" s="4">
        <v>1.44E-8</v>
      </c>
      <c r="H38" s="4">
        <v>7.6700000000000002E-9</v>
      </c>
    </row>
    <row r="39" spans="1:8" x14ac:dyDescent="0.35">
      <c r="A39" s="4">
        <v>1.91E-7</v>
      </c>
      <c r="B39" s="4">
        <v>1.8300000000000001E-7</v>
      </c>
      <c r="C39" s="4">
        <v>1.3300000000000001E-7</v>
      </c>
      <c r="D39" s="4">
        <v>1.1000000000000001E-7</v>
      </c>
      <c r="E39" s="4">
        <v>9.83E-8</v>
      </c>
      <c r="F39" s="4">
        <v>3.0799999999999998E-8</v>
      </c>
      <c r="G39" s="4">
        <v>1.6700000000000001E-8</v>
      </c>
      <c r="H39" s="4">
        <v>8.9000000000000003E-9</v>
      </c>
    </row>
    <row r="40" spans="1:8" x14ac:dyDescent="0.35">
      <c r="A40" s="4">
        <v>1.92E-7</v>
      </c>
      <c r="B40" s="4">
        <v>1.85E-7</v>
      </c>
      <c r="C40" s="4">
        <v>1.4000000000000001E-7</v>
      </c>
      <c r="D40" s="4">
        <v>1.18E-7</v>
      </c>
      <c r="E40" s="4">
        <v>1.06E-7</v>
      </c>
      <c r="F40" s="4">
        <v>3.5299999999999998E-8</v>
      </c>
      <c r="G40" s="4">
        <v>1.9300000000000001E-8</v>
      </c>
      <c r="H40" s="4">
        <v>1.03E-8</v>
      </c>
    </row>
    <row r="41" spans="1:8" x14ac:dyDescent="0.35">
      <c r="A41" s="4">
        <v>1.9299999999999999E-7</v>
      </c>
      <c r="B41" s="4">
        <v>1.8699999999999999E-7</v>
      </c>
      <c r="C41" s="4">
        <v>1.4600000000000001E-7</v>
      </c>
      <c r="D41" s="4">
        <v>1.2499999999999999E-7</v>
      </c>
      <c r="E41" s="4">
        <v>1.14E-7</v>
      </c>
      <c r="F41" s="4">
        <v>4.0399999999999998E-8</v>
      </c>
      <c r="G41" s="4">
        <v>2.2399999999999999E-8</v>
      </c>
      <c r="H41" s="4">
        <v>1.2E-8</v>
      </c>
    </row>
    <row r="42" spans="1:8" x14ac:dyDescent="0.35">
      <c r="A42" s="4">
        <v>1.9399999999999999E-7</v>
      </c>
      <c r="B42" s="4">
        <v>1.8799999999999999E-7</v>
      </c>
      <c r="C42" s="4">
        <v>1.5200000000000001E-7</v>
      </c>
      <c r="D42" s="4">
        <v>1.3199999999999999E-7</v>
      </c>
      <c r="E42" s="4">
        <v>1.2200000000000001E-7</v>
      </c>
      <c r="F42" s="4">
        <v>4.5900000000000001E-8</v>
      </c>
      <c r="G42" s="4">
        <v>2.59E-8</v>
      </c>
      <c r="H42" s="4">
        <v>1.4E-8</v>
      </c>
    </row>
    <row r="43" spans="1:8" x14ac:dyDescent="0.35">
      <c r="A43" s="4">
        <v>1.9500000000000001E-7</v>
      </c>
      <c r="B43" s="4">
        <v>1.9000000000000001E-7</v>
      </c>
      <c r="C43" s="4">
        <v>1.5800000000000001E-7</v>
      </c>
      <c r="D43" s="4">
        <v>1.3899999999999999E-7</v>
      </c>
      <c r="E43" s="4">
        <v>1.29E-7</v>
      </c>
      <c r="F43" s="4">
        <v>5.2100000000000003E-8</v>
      </c>
      <c r="G43" s="4">
        <v>2.9799999999999999E-8</v>
      </c>
      <c r="H43" s="4">
        <v>1.63E-8</v>
      </c>
    </row>
    <row r="44" spans="1:8" x14ac:dyDescent="0.35">
      <c r="A44" s="4">
        <v>1.9600000000000001E-7</v>
      </c>
      <c r="B44" s="4">
        <v>1.91E-7</v>
      </c>
      <c r="C44" s="4">
        <v>1.6299999999999999E-7</v>
      </c>
      <c r="D44" s="4">
        <v>1.4600000000000001E-7</v>
      </c>
      <c r="E44" s="4">
        <v>1.37E-7</v>
      </c>
      <c r="F44" s="4">
        <v>5.8899999999999998E-8</v>
      </c>
      <c r="G44" s="4">
        <v>3.4399999999999997E-8</v>
      </c>
      <c r="H44" s="4">
        <v>1.89E-8</v>
      </c>
    </row>
    <row r="45" spans="1:8" x14ac:dyDescent="0.35">
      <c r="A45" s="4">
        <v>1.9600000000000001E-7</v>
      </c>
      <c r="B45" s="4">
        <v>1.9299999999999999E-7</v>
      </c>
      <c r="C45" s="4">
        <v>1.67E-7</v>
      </c>
      <c r="D45" s="4">
        <v>1.5200000000000001E-7</v>
      </c>
      <c r="E45" s="4">
        <v>1.43E-7</v>
      </c>
      <c r="F45" s="4">
        <v>6.6199999999999997E-8</v>
      </c>
      <c r="G45" s="4">
        <v>3.9500000000000003E-8</v>
      </c>
      <c r="H45" s="4">
        <v>2.1999999999999998E-8</v>
      </c>
    </row>
    <row r="46" spans="1:8" x14ac:dyDescent="0.35">
      <c r="A46" s="4">
        <v>1.97E-7</v>
      </c>
      <c r="B46" s="4">
        <v>1.9399999999999999E-7</v>
      </c>
      <c r="C46" s="4">
        <v>1.72E-7</v>
      </c>
      <c r="D46" s="4">
        <v>1.5800000000000001E-7</v>
      </c>
      <c r="E46" s="4">
        <v>1.4999999999999999E-7</v>
      </c>
      <c r="F46" s="4">
        <v>7.4099999999999995E-8</v>
      </c>
      <c r="G46" s="4">
        <v>4.5300000000000002E-8</v>
      </c>
      <c r="H46" s="4">
        <v>2.5600000000000001E-8</v>
      </c>
    </row>
    <row r="47" spans="1:8" x14ac:dyDescent="0.35">
      <c r="A47" s="4">
        <v>1.9999999999999999E-7</v>
      </c>
      <c r="B47" s="4">
        <v>1.99E-7</v>
      </c>
      <c r="C47" s="4">
        <v>1.97E-7</v>
      </c>
      <c r="D47" s="4">
        <v>1.9500000000000001E-7</v>
      </c>
      <c r="E47" s="4">
        <v>1.9399999999999999E-7</v>
      </c>
      <c r="F47" s="4">
        <v>1.7100000000000001E-7</v>
      </c>
      <c r="G47" s="4">
        <v>1.4399999999999999E-7</v>
      </c>
      <c r="H47" s="4">
        <v>9.9999999999999995E-8</v>
      </c>
    </row>
    <row r="48" spans="1:8" x14ac:dyDescent="0.35">
      <c r="A48" s="4">
        <v>1.9999999999999999E-7</v>
      </c>
      <c r="B48" s="4">
        <v>1.99E-7</v>
      </c>
      <c r="C48" s="4">
        <v>1.97E-7</v>
      </c>
      <c r="D48" s="4">
        <v>1.9600000000000001E-7</v>
      </c>
      <c r="E48" s="4">
        <v>1.9500000000000001E-7</v>
      </c>
      <c r="F48" s="4">
        <v>1.7499999999999999E-7</v>
      </c>
      <c r="G48" s="4">
        <v>1.5099999999999999E-7</v>
      </c>
      <c r="H48" s="4">
        <v>1.11E-7</v>
      </c>
    </row>
    <row r="49" spans="1:8" x14ac:dyDescent="0.35">
      <c r="A49" s="4">
        <v>1.9999999999999999E-7</v>
      </c>
      <c r="B49" s="4">
        <v>1.9999999999999999E-7</v>
      </c>
      <c r="C49" s="4">
        <v>1.98E-7</v>
      </c>
      <c r="D49" s="4">
        <v>1.9600000000000001E-7</v>
      </c>
      <c r="E49" s="4">
        <v>1.9600000000000001E-7</v>
      </c>
      <c r="F49" s="4">
        <v>1.7800000000000001E-7</v>
      </c>
      <c r="G49" s="4">
        <v>1.5699999999999999E-7</v>
      </c>
      <c r="H49" s="4">
        <v>1.2100000000000001E-7</v>
      </c>
    </row>
    <row r="50" spans="1:8" x14ac:dyDescent="0.35">
      <c r="A50" s="4">
        <v>1.9999999999999999E-7</v>
      </c>
      <c r="B50" s="4">
        <v>1.9999999999999999E-7</v>
      </c>
      <c r="C50" s="4">
        <v>1.98E-7</v>
      </c>
      <c r="D50" s="4">
        <v>1.97E-7</v>
      </c>
      <c r="E50" s="4">
        <v>1.9600000000000001E-7</v>
      </c>
      <c r="F50" s="4">
        <v>1.8099999999999999E-7</v>
      </c>
      <c r="G50" s="4">
        <v>1.6199999999999999E-7</v>
      </c>
      <c r="H50" s="4">
        <v>1.3E-7</v>
      </c>
    </row>
    <row r="51" spans="1:8" x14ac:dyDescent="0.35">
      <c r="A51" s="4">
        <v>1.9999999999999999E-7</v>
      </c>
      <c r="B51" s="4">
        <v>1.9999999999999999E-7</v>
      </c>
      <c r="C51" s="4">
        <v>1.98E-7</v>
      </c>
      <c r="D51" s="4">
        <v>1.97E-7</v>
      </c>
      <c r="E51" s="4">
        <v>1.97E-7</v>
      </c>
      <c r="F51" s="4">
        <v>1.8300000000000001E-7</v>
      </c>
      <c r="G51" s="4">
        <v>1.67E-7</v>
      </c>
      <c r="H51" s="4">
        <v>1.3899999999999999E-7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NormFluoro</vt:lpstr>
      <vt:lpstr>weights</vt:lpstr>
      <vt:lpstr>conc</vt:lpstr>
      <vt:lpstr>KD</vt:lpstr>
      <vt:lpstr>Y</vt:lpstr>
      <vt:lpstr>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Oloff, Esther</dc:creator>
  <cp:keywords/>
  <dc:description/>
  <cp:lastModifiedBy>Esther Oloff</cp:lastModifiedBy>
  <cp:revision/>
  <dcterms:created xsi:type="dcterms:W3CDTF">2022-07-25T16:53:14Z</dcterms:created>
  <dcterms:modified xsi:type="dcterms:W3CDTF">2025-11-08T03:16:51Z</dcterms:modified>
  <cp:category/>
  <cp:contentStatus/>
</cp:coreProperties>
</file>